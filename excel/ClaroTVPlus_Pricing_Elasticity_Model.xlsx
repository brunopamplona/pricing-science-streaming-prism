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Elasticity_Model" sheetId="2" state="visible" r:id="rId4"/>
    <sheet name="WTP_Conjoint" sheetId="3" state="visible" r:id="rId5"/>
    <sheet name="Bundle_Optimizer" sheetId="4" state="visible" r:id="rId6"/>
    <sheet name="Pricing_Simulator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<sst xmlns="http://schemas.openxmlformats.org/spreadsheetml/2006/main" count="520" uniqueCount="167">
  <si>
    <t xml:space="preserve">CLARO TV+ — DADOS HISTÓRICOS DE PREÇO E ASSINANTES POR PACOTE</t>
  </si>
  <si>
    <t xml:space="preserve">Preencha com dados reais. Células azuis = inputs editáveis. | Período: Jan/2023 – Dez/2024 (24 meses)</t>
  </si>
  <si>
    <t xml:space="preserve">Mês</t>
  </si>
  <si>
    <t xml:space="preserve">Ano</t>
  </si>
  <si>
    <t xml:space="preserve">Pacote</t>
  </si>
  <si>
    <t xml:space="preserve">Preço_Mensal (R$)</t>
  </si>
  <si>
    <t xml:space="preserve">Assinantes_Ativos</t>
  </si>
  <si>
    <t xml:space="preserve">Novos_Assinantes</t>
  </si>
  <si>
    <t xml:space="preserve">Cancelamentos</t>
  </si>
  <si>
    <t xml:space="preserve">Receita_Total (R$)</t>
  </si>
  <si>
    <t xml:space="preserve">Promo_Flag (0/1)</t>
  </si>
  <si>
    <t xml:space="preserve">Sazonality_Index</t>
  </si>
  <si>
    <t xml:space="preserve">Concorrente_Preço_Ref (R$)</t>
  </si>
  <si>
    <t xml:space="preserve">Notas</t>
  </si>
  <si>
    <t xml:space="preserve">Jan</t>
  </si>
  <si>
    <t xml:space="preserve">Futebol</t>
  </si>
  <si>
    <t xml:space="preserve">MMA/Combate</t>
  </si>
  <si>
    <t xml:space="preserve">Familia</t>
  </si>
  <si>
    <t xml:space="preserve">Series/Filmes</t>
  </si>
  <si>
    <t xml:space="preserve">Infantil</t>
  </si>
  <si>
    <t xml:space="preserve">Bundle_Plus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</si>
  <si>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</si>
  <si>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</si>
  <si>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</si>
  <si>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</si>
  <si>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</si>
  <si>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</si>
  <si>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</si>
  <si>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</si>
  <si>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</si>
  <si>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</si>
  <si>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</si>
  <si>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LEGENDA:</t>
  </si>
  <si>
    <t xml:space="preserve">Células em azul claro = inputs editáveis pelo usuário</t>
  </si>
  <si>
    <t xml:space="preserve">MODELO DE ELASTICIDADE DE PREÇO — REGRESSÃO LOG-LOG POR PACOTE</t>
  </si>
  <si>
    <t xml:space="preserve">Equação: ln(Demanda) = α + β × ln(Preço) + γ × Sazonalidade + δ × Promo_Flag  |  β = Elasticidade-Preço  |  Células amarelas = assunções chave</t>
  </si>
  <si>
    <t xml:space="preserve">1. FUNDAMENTO MATEMÁTICO — REGRESSÃO LOG-LOG</t>
  </si>
  <si>
    <t xml:space="preserve">Forma funcional:</t>
  </si>
  <si>
    <t xml:space="preserve">ln(Q) = α + β·ln(P) + γ·S + δ·D + ε</t>
  </si>
  <si>
    <t xml:space="preserve">Onde:</t>
  </si>
  <si>
    <t xml:space="preserve">Q = Assinantes Ativos  |  P = Preço Mensal  |  S = Índice de Sazonalidade  |  D = Dummy de Promoção</t>
  </si>
  <si>
    <t xml:space="preserve">Interpretação β:</t>
  </si>
  <si>
    <t xml:space="preserve">β = Elasticidade-preço. Se β = -0.8, um aumento de 10% no preço reduz demanda em 8%</t>
  </si>
  <si>
    <t xml:space="preserve">Estimação:</t>
  </si>
  <si>
    <t xml:space="preserve">OLS (Mínimos Quadrados Ordinários) aplicado em logaritmos naturais dos dados históricos</t>
  </si>
  <si>
    <t xml:space="preserve">2. RESULTADOS DE ELASTICIDADE POR PACOTE (Preencha com dados reais ou use estimativas abaixo)</t>
  </si>
  <si>
    <t xml:space="preserve">Preço Atual
(R$)</t>
  </si>
  <si>
    <t xml:space="preserve">Assinantes
Atuais</t>
  </si>
  <si>
    <t xml:space="preserve">Elasticidade β
(estimada)</t>
  </si>
  <si>
    <t xml:space="preserve">Erro Padrão β</t>
  </si>
  <si>
    <t xml:space="preserve">t-stat</t>
  </si>
  <si>
    <t xml:space="preserve">p-valor</t>
  </si>
  <si>
    <t xml:space="preserve">R²
Modelo</t>
  </si>
  <si>
    <t xml:space="preserve">Classificação
Elasticidade</t>
  </si>
  <si>
    <t xml:space="preserve">WTP Mín
(R$)</t>
  </si>
  <si>
    <t xml:space="preserve">WTP Máx
(R$)</t>
  </si>
  <si>
    <t xml:space="preserve">Preço Ótimo
(R$)</t>
  </si>
  <si>
    <t xml:space="preserve">Receita Atual
(R$mm)</t>
  </si>
  <si>
    <t xml:space="preserve">Receita Ótima
(R$mm)</t>
  </si>
  <si>
    <t xml:space="preserve">Inelástico</t>
  </si>
  <si>
    <t xml:space="preserve">Elástico</t>
  </si>
  <si>
    <t xml:space="preserve">TOTAL PORTFÓLIO</t>
  </si>
  <si>
    <t xml:space="preserve">3. GUIA DE INTERPRETAÇÃO DA ELASTICIDADE</t>
  </si>
  <si>
    <t xml:space="preserve">Range β</t>
  </si>
  <si>
    <t xml:space="preserve">Classificação</t>
  </si>
  <si>
    <t xml:space="preserve">Interpretação para CMO</t>
  </si>
  <si>
    <t xml:space="preserve">β &lt; -1.0</t>
  </si>
  <si>
    <t xml:space="preserve">ELÁSTICO</t>
  </si>
  <si>
    <t xml:space="preserve">Demanda sensível a preço. Aumentar preço reduz receita. Foco em volume.</t>
  </si>
  <si>
    <t xml:space="preserve">β entre -1.0 e -0.5</t>
  </si>
  <si>
    <t xml:space="preserve">INELÁSTICO MODERADO</t>
  </si>
  <si>
    <t xml:space="preserve">Espaço para aumentar preço com perda moderada de assinantes.</t>
  </si>
  <si>
    <t xml:space="preserve">β entre -0.5 e 0.0</t>
  </si>
  <si>
    <t xml:space="preserve">INELÁSTICO FORTE</t>
  </si>
  <si>
    <t xml:space="preserve">Alta fidelidade. Aumentar preço aumenta receita. Conteúdo exclusivo âncora.</t>
  </si>
  <si>
    <t xml:space="preserve">ANÁLISE DE WILLINGNESS-TO-PAY — VAN WESTENDORP PRICE SENSITIVITY METER</t>
  </si>
  <si>
    <t xml:space="preserve">Metodologia: 4 perguntas sobre percepção de preço aplicadas por segmento. O cruzamento das curvas define Acceptable Price Range e Optimal Price Point.</t>
  </si>
  <si>
    <t xml:space="preserve">1. AS 4 PERGUNTAS DO VAN WESTENDORP (aplicar em survey por segmento)</t>
  </si>
  <si>
    <t xml:space="preserve">Q1 — Caro demais:</t>
  </si>
  <si>
    <t xml:space="preserve">A que preço este pacote seria TÃO CARO que você não o compraria?</t>
  </si>
  <si>
    <t xml:space="preserve">Q2 — Caro mas aceitável:</t>
  </si>
  <si>
    <t xml:space="preserve">A que preço este pacote seria CARO, mas você ainda consideraria comprar?</t>
  </si>
  <si>
    <t xml:space="preserve">Q3 — Bom negócio:</t>
  </si>
  <si>
    <t xml:space="preserve">A que preço este pacote seria um BOM NEGÓCIO?</t>
  </si>
  <si>
    <t xml:space="preserve">Q4 — Barato demais:</t>
  </si>
  <si>
    <t xml:space="preserve">A que preço este pacote seria TÃO BARATO que você duvidaria da qualidade?</t>
  </si>
  <si>
    <t xml:space="preserve">2. RESULTADOS WTP POR SEGMENTO — INSIRA OS PERCENTIS DA SUA SURVEY</t>
  </si>
  <si>
    <t xml:space="preserve">Segmento / Pacote</t>
  </si>
  <si>
    <t xml:space="preserve">n Survey</t>
  </si>
  <si>
    <t xml:space="preserve">Q1 p50
Caro demais</t>
  </si>
  <si>
    <t xml:space="preserve">Q2 p50
Caro aceitável</t>
  </si>
  <si>
    <t xml:space="preserve">Q3 p50
Bom negócio</t>
  </si>
  <si>
    <t xml:space="preserve">Q4 p50
Barato demais</t>
  </si>
  <si>
    <t xml:space="preserve">Preço Mínimo
Aceitável (PMC)</t>
  </si>
  <si>
    <t xml:space="preserve">Preço Máximo
Aceitável (PME)</t>
  </si>
  <si>
    <t xml:space="preserve">Faixa Aceitável
(R$)</t>
  </si>
  <si>
    <t xml:space="preserve">Optimal
Price Point</t>
  </si>
  <si>
    <t xml:space="preserve">Delta
OPP vs Atual</t>
  </si>
  <si>
    <t xml:space="preserve">Ação
Recomendada</t>
  </si>
  <si>
    <t xml:space="preserve">OTIMIZADOR DE BUNDLES — DESIGN E PRECIFICAÇÃO DE PACOTES COMBINADOS</t>
  </si>
  <si>
    <t xml:space="preserve">Princípio: Bundling captura heterogeneidade de WTP entre segmentos. Objetivo: Maximizar receita total escolhendo preço e composição de cada bundle.</t>
  </si>
  <si>
    <t xml:space="preserve">1. MATRIZ DE COMPOSIÇÃO DOS BUNDLES — O QUE CADA TIER INCLUI</t>
  </si>
  <si>
    <t xml:space="preserve">Bundle / Tier</t>
  </si>
  <si>
    <t xml:space="preserve">MMA/
Combate</t>
  </si>
  <si>
    <t xml:space="preserve">Series/
Filmes</t>
  </si>
  <si>
    <t xml:space="preserve">Streamings
(Netflix etc)</t>
  </si>
  <si>
    <t xml:space="preserve">Nº Telas</t>
  </si>
  <si>
    <t xml:space="preserve">HD/4K</t>
  </si>
  <si>
    <t xml:space="preserve">Preço
Sugerido (R$)</t>
  </si>
  <si>
    <t xml:space="preserve">Preço
Atual (R$)</t>
  </si>
  <si>
    <t xml:space="preserve">Essencial</t>
  </si>
  <si>
    <t xml:space="preserve">✗</t>
  </si>
  <si>
    <t xml:space="preserve">✓</t>
  </si>
  <si>
    <t xml:space="preserve">HD</t>
  </si>
  <si>
    <t xml:space="preserve">Plus</t>
  </si>
  <si>
    <t xml:space="preserve">Premium</t>
  </si>
  <si>
    <t xml:space="preserve">4K</t>
  </si>
  <si>
    <t xml:space="preserve">Familia Plus</t>
  </si>
  <si>
    <t xml:space="preserve">Esporte Total</t>
  </si>
  <si>
    <t xml:space="preserve">Futebol Add</t>
  </si>
  <si>
    <t xml:space="preserve">2. SIMULAÇÃO DE RECEITA POR BUNDLE — CENÁRIOS DE PREÇO</t>
  </si>
  <si>
    <t xml:space="preserve">Bundle</t>
  </si>
  <si>
    <t xml:space="preserve">Preço
Base (R$)</t>
  </si>
  <si>
    <t xml:space="preserve">Elast. Média
Ponderada</t>
  </si>
  <si>
    <t xml:space="preserve">Assin. Base</t>
  </si>
  <si>
    <t xml:space="preserve">Preço
Cenário -15%</t>
  </si>
  <si>
    <t xml:space="preserve">Assin.
-15%</t>
  </si>
  <si>
    <t xml:space="preserve">Receita
-15% (R$mm)</t>
  </si>
  <si>
    <t xml:space="preserve">Preço
Cenário Atual</t>
  </si>
  <si>
    <t xml:space="preserve">Receita
Atual (R$mm)</t>
  </si>
  <si>
    <t xml:space="preserve">Preço
Cenário +15%</t>
  </si>
  <si>
    <t xml:space="preserve">Assin.
+15%</t>
  </si>
  <si>
    <t xml:space="preserve">TOTAL</t>
  </si>
  <si>
    <t xml:space="preserve">SIMULADOR INTERATIVO DE PRICING — IMPACTO DE MUDANÇA DE PREÇO EM RECEITA E ASSINANTES</t>
  </si>
  <si>
    <t xml:space="preserve">INSTRUÇÕES: Altere as células AZUIS (Novo Preço Proposto) e veja o impacto automático em Assinantes e Receita. Use para decisões de reajuste.</t>
  </si>
  <si>
    <t xml:space="preserve">PAINEL DE CONTROLE — ALTERE OS INPUTS ABAIXO (células azuis)</t>
  </si>
  <si>
    <t xml:space="preserve">Elasticidade β
(da aba Elasticity)</t>
  </si>
  <si>
    <t xml:space="preserve">NOVO PREÇO
PROPOSTO (R$)</t>
  </si>
  <si>
    <t xml:space="preserve">Variação
de Preço %</t>
  </si>
  <si>
    <t xml:space="preserve">Variação
Demanda %</t>
  </si>
  <si>
    <t xml:space="preserve">Novos
Assinantes</t>
  </si>
  <si>
    <t xml:space="preserve">Receita Atual
(R$/mês)</t>
  </si>
  <si>
    <t xml:space="preserve">Nova Receita
(R$/mês)</t>
  </si>
  <si>
    <t xml:space="preserve">RESUMO DO IMPACTO DA MUDANÇA DE PREÇO PROPOSTA</t>
  </si>
  <si>
    <t xml:space="preserve">Variação Total de Receita (R$/mês):</t>
  </si>
  <si>
    <t xml:space="preserve">Variação Total de Assinantes:</t>
  </si>
  <si>
    <t xml:space="preserve">Variação % de Receita:</t>
  </si>
  <si>
    <t xml:space="preserve">Receita Incremental Anualizada:</t>
  </si>
  <si>
    <t xml:space="preserve">CLARO TV+ — PRICING &amp; PACKAGING OPTIMIZATION  |  DASHBOARD EXECUTIVO</t>
  </si>
  <si>
    <t xml:space="preserve">Visão consolidada de elasticidade, WTP e oportunidade de receita por pacote  |  Fonte: Abas Elasticity_Model, WTP_Conjoint, Pricing_Simulator</t>
  </si>
  <si>
    <t xml:space="preserve">KPIs CHAVE DE PRICING</t>
  </si>
  <si>
    <t xml:space="preserve">Receita Mensal Atual</t>
  </si>
  <si>
    <t xml:space="preserve">Receita com Preços Propostos</t>
  </si>
  <si>
    <t xml:space="preserve">Ganho Mensal Estimado</t>
  </si>
  <si>
    <t xml:space="preserve">Ganho Anualizado</t>
  </si>
  <si>
    <t xml:space="preserve">MAPA DE ELASTICIDADE E OPORTUNIDADE POR PACOTE</t>
  </si>
  <si>
    <t xml:space="preserve">Preço Atual</t>
  </si>
  <si>
    <t xml:space="preserve">Elast. β</t>
  </si>
  <si>
    <t xml:space="preserve">WTP Ótimo</t>
  </si>
  <si>
    <t xml:space="preserve">Preço Proposto</t>
  </si>
  <si>
    <t xml:space="preserve">Var. Preço %</t>
  </si>
  <si>
    <t xml:space="preserve">Var. Assin. %</t>
  </si>
  <si>
    <t xml:space="preserve">Receita Atual</t>
  </si>
  <si>
    <t xml:space="preserve">Receita Proposta</t>
  </si>
  <si>
    <t xml:space="preserve">Delta R$</t>
  </si>
  <si>
    <t xml:space="preserve">Ação</t>
  </si>
  <si>
    <t xml:space="preserve">METODOLOGIA: Elasticidade estimada via regressão log-log (ln Q = α + β·ln P). WTP via Van Westendorp. Preço ótimo = média(Q2, Q3) do survey. Células azuis = inputs editáveis pelo usuário.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</si>
</sst>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&quot;#,##0.00"/>
    <numFmt numFmtId="166" formatCode="&quot;R$&quot;#,##0"/>
    <numFmt numFmtId="167" formatCode="#,##0"/>
    <numFmt numFmtId="168" formatCode="0.00"/>
    <numFmt numFmtId="169" formatCode="0.000"/>
    <numFmt numFmtId="170" formatCode="0.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0D1B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D1B2A"/>
      <name val="Arial"/>
      <family val="0"/>
      <charset val="1"/>
    </font>
    <font>
      <sz val="10"/>
      <color rgb="FF00008B"/>
      <name val="Arial"/>
      <family val="0"/>
      <charset val="1"/>
    </font>
    <font>
      <b val="true"/>
      <sz val="9"/>
      <color rgb="FF0D1B2A"/>
      <name val="Arial"/>
      <family val="0"/>
      <charset val="1"/>
    </font>
    <font>
      <sz val="9"/>
      <color rgb="FF00008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D1B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D354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D35400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0"/>
      <color rgb="FF00C2CB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b val="true"/>
      <sz val="11"/>
      <color rgb="FF00008B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C2CB"/>
      <name val="Arial"/>
      <family val="0"/>
      <charset val="1"/>
    </font>
    <font>
      <b val="true"/>
      <sz val="18"/>
      <color rgb="FF1E8449"/>
      <name val="Arial"/>
      <family val="0"/>
      <charset val="1"/>
    </font>
    <font>
      <i val="true"/>
      <sz val="8"/>
      <color rgb="FFBDC3C7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D6EAF8"/>
        <bgColor rgb="FFE8F4FD"/>
      </patternFill>
    </fill>
    <fill>
      <patternFill patternType="solid">
        <fgColor rgb="FFF4F7FA"/>
        <bgColor rgb="FFE8F4FD"/>
      </patternFill>
    </fill>
    <fill>
      <patternFill patternType="solid">
        <fgColor rgb="FFE8F4FD"/>
        <bgColor rgb="FFE9F7EF"/>
      </patternFill>
    </fill>
    <fill>
      <patternFill patternType="solid">
        <fgColor rgb="FFFFFFFF"/>
        <bgColor rgb="FFF4F7FA"/>
      </patternFill>
    </fill>
    <fill>
      <patternFill patternType="solid">
        <fgColor rgb="FFE9F7EF"/>
        <bgColor rgb="FFE8F4FD"/>
      </patternFill>
    </fill>
    <fill>
      <patternFill patternType="solid">
        <fgColor rgb="FFFFF9C4"/>
        <bgColor rgb="FFFEF3E2"/>
      </patternFill>
    </fill>
    <fill>
      <patternFill patternType="solid">
        <fgColor rgb="FFFDECEA"/>
        <bgColor rgb="FFFEF3E2"/>
      </patternFill>
    </fill>
    <fill>
      <patternFill patternType="solid">
        <fgColor rgb="FFFEF3E2"/>
        <bgColor rgb="FFFDECE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medium">
        <color rgb="FF00008B"/>
      </left>
      <right style="medium">
        <color rgb="FF00008B"/>
      </right>
      <top style="medium">
        <color rgb="FF00008B"/>
      </top>
      <bottom style="medium">
        <color rgb="FF00008B"/>
      </bottom>
      <diagonal/>
    </border>
    <border diagonalUp="false" diagonalDown="false">
      <left style="medium">
        <color rgb="FF00C2CB"/>
      </left>
      <right/>
      <top style="medium">
        <color rgb="FF00C2CB"/>
      </top>
      <bottom/>
      <diagonal/>
    </border>
    <border diagonalUp="false" diagonalDown="false">
      <left style="medium">
        <color rgb="FF1E8449"/>
      </left>
      <right/>
      <top style="medium">
        <color rgb="FF1E844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F4F7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2CB"/>
      <rgbColor rgb="FFE8F4FD"/>
      <rgbColor rgb="FFE9F7EF"/>
      <rgbColor rgb="FFFEF3E2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D35400"/>
      <rgbColor rgb="FF666699"/>
      <rgbColor rgb="FF969696"/>
      <rgbColor rgb="FF003366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6" min="4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 t="s">
        <v>14</v>
      </c>
      <c r="B4" s="4" t="n">
        <v>2023</v>
      </c>
      <c r="C4" s="4" t="s">
        <v>15</v>
      </c>
      <c r="D4" s="5" t="n">
        <v>89.9</v>
      </c>
      <c r="E4" s="6" t="n">
        <v>69700</v>
      </c>
      <c r="F4" s="6" t="n">
        <v>5576</v>
      </c>
      <c r="G4" s="6" t="n">
        <v>4182</v>
      </c>
      <c r="H4" s="7" t="n">
        <v>6266030</v>
      </c>
      <c r="I4" s="6" t="n">
        <v>1</v>
      </c>
      <c r="J4" s="6" t="n">
        <v>0.82</v>
      </c>
      <c r="K4" s="6" t="n">
        <v>79.11</v>
      </c>
      <c r="L4" s="4"/>
    </row>
    <row r="5" customFormat="false" ht="15" hidden="false" customHeight="false" outlineLevel="0" collapsed="false">
      <c r="A5" s="8" t="s">
        <v>14</v>
      </c>
      <c r="B5" s="8" t="n">
        <v>2023</v>
      </c>
      <c r="C5" s="8" t="s">
        <v>16</v>
      </c>
      <c r="D5" s="5" t="n">
        <v>64.9</v>
      </c>
      <c r="E5" s="6" t="n">
        <v>34440</v>
      </c>
      <c r="F5" s="6" t="n">
        <v>2755</v>
      </c>
      <c r="G5" s="6" t="n">
        <v>2066</v>
      </c>
      <c r="H5" s="9" t="n">
        <v>2235156</v>
      </c>
      <c r="I5" s="6" t="n">
        <v>1</v>
      </c>
      <c r="J5" s="6" t="n">
        <v>0.82</v>
      </c>
      <c r="K5" s="6" t="n">
        <v>57.11</v>
      </c>
      <c r="L5" s="8"/>
    </row>
    <row r="6" customFormat="false" ht="15" hidden="false" customHeight="false" outlineLevel="0" collapsed="false">
      <c r="A6" s="4" t="s">
        <v>14</v>
      </c>
      <c r="B6" s="4" t="n">
        <v>2023</v>
      </c>
      <c r="C6" s="4" t="s">
        <v>17</v>
      </c>
      <c r="D6" s="5" t="n">
        <v>129.9</v>
      </c>
      <c r="E6" s="6" t="n">
        <v>172200</v>
      </c>
      <c r="F6" s="6" t="n">
        <v>13776</v>
      </c>
      <c r="G6" s="6" t="n">
        <v>10332</v>
      </c>
      <c r="H6" s="7" t="n">
        <v>22368780</v>
      </c>
      <c r="I6" s="6" t="n">
        <v>1</v>
      </c>
      <c r="J6" s="6" t="n">
        <v>0.82</v>
      </c>
      <c r="K6" s="6" t="n">
        <v>114.31</v>
      </c>
      <c r="L6" s="4"/>
    </row>
    <row r="7" customFormat="false" ht="15" hidden="false" customHeight="false" outlineLevel="0" collapsed="false">
      <c r="A7" s="8" t="s">
        <v>14</v>
      </c>
      <c r="B7" s="8" t="n">
        <v>2023</v>
      </c>
      <c r="C7" s="8" t="s">
        <v>18</v>
      </c>
      <c r="D7" s="5" t="n">
        <v>49.9</v>
      </c>
      <c r="E7" s="6" t="n">
        <v>55760</v>
      </c>
      <c r="F7" s="6" t="n">
        <v>4460</v>
      </c>
      <c r="G7" s="6" t="n">
        <v>3345</v>
      </c>
      <c r="H7" s="9" t="n">
        <v>2782424</v>
      </c>
      <c r="I7" s="6" t="n">
        <v>1</v>
      </c>
      <c r="J7" s="6" t="n">
        <v>0.82</v>
      </c>
      <c r="K7" s="6" t="n">
        <v>43.91</v>
      </c>
      <c r="L7" s="8"/>
    </row>
    <row r="8" customFormat="false" ht="15" hidden="false" customHeight="false" outlineLevel="0" collapsed="false">
      <c r="A8" s="4" t="s">
        <v>14</v>
      </c>
      <c r="B8" s="4" t="n">
        <v>2023</v>
      </c>
      <c r="C8" s="4" t="s">
        <v>19</v>
      </c>
      <c r="D8" s="5" t="n">
        <v>39.9</v>
      </c>
      <c r="E8" s="6" t="n">
        <v>45100</v>
      </c>
      <c r="F8" s="6" t="n">
        <v>3608</v>
      </c>
      <c r="G8" s="6" t="n">
        <v>2706</v>
      </c>
      <c r="H8" s="7" t="n">
        <v>1799490</v>
      </c>
      <c r="I8" s="6" t="n">
        <v>1</v>
      </c>
      <c r="J8" s="6" t="n">
        <v>0.82</v>
      </c>
      <c r="K8" s="6" t="n">
        <v>35.11</v>
      </c>
      <c r="L8" s="4"/>
    </row>
    <row r="9" customFormat="false" ht="15" hidden="false" customHeight="false" outlineLevel="0" collapsed="false">
      <c r="A9" s="8" t="s">
        <v>14</v>
      </c>
      <c r="B9" s="8" t="n">
        <v>2023</v>
      </c>
      <c r="C9" s="8" t="s">
        <v>20</v>
      </c>
      <c r="D9" s="5" t="n">
        <v>179.9</v>
      </c>
      <c r="E9" s="6" t="n">
        <v>77900</v>
      </c>
      <c r="F9" s="6" t="n">
        <v>6232</v>
      </c>
      <c r="G9" s="6" t="n">
        <v>4674</v>
      </c>
      <c r="H9" s="9" t="n">
        <v>14014210</v>
      </c>
      <c r="I9" s="6" t="n">
        <v>1</v>
      </c>
      <c r="J9" s="6" t="n">
        <v>0.82</v>
      </c>
      <c r="K9" s="6" t="n">
        <v>158.31</v>
      </c>
      <c r="L9" s="8"/>
    </row>
    <row r="10" customFormat="false" ht="15" hidden="false" customHeight="false" outlineLevel="0" collapsed="false">
      <c r="A10" s="4" t="s">
        <v>21</v>
      </c>
      <c r="B10" s="4" t="n">
        <v>2023</v>
      </c>
      <c r="C10" s="4" t="s">
        <v>15</v>
      </c>
      <c r="D10" s="5" t="n">
        <v>89.9</v>
      </c>
      <c r="E10" s="6" t="n">
        <v>66300</v>
      </c>
      <c r="F10" s="6" t="n">
        <v>5304</v>
      </c>
      <c r="G10" s="6" t="n">
        <v>3978</v>
      </c>
      <c r="H10" s="7" t="n">
        <v>5960370</v>
      </c>
      <c r="I10" s="6" t="n">
        <v>0</v>
      </c>
      <c r="J10" s="6" t="n">
        <v>0.78</v>
      </c>
      <c r="K10" s="6" t="n">
        <v>79.11</v>
      </c>
      <c r="L10" s="4"/>
    </row>
    <row r="11" customFormat="false" ht="15" hidden="false" customHeight="false" outlineLevel="0" collapsed="false">
      <c r="A11" s="8" t="s">
        <v>21</v>
      </c>
      <c r="B11" s="8" t="n">
        <v>2023</v>
      </c>
      <c r="C11" s="8" t="s">
        <v>16</v>
      </c>
      <c r="D11" s="5" t="n">
        <v>64.9</v>
      </c>
      <c r="E11" s="6" t="n">
        <v>32760</v>
      </c>
      <c r="F11" s="6" t="n">
        <v>2620</v>
      </c>
      <c r="G11" s="6" t="n">
        <v>1965</v>
      </c>
      <c r="H11" s="9" t="n">
        <v>2126124</v>
      </c>
      <c r="I11" s="6" t="n">
        <v>0</v>
      </c>
      <c r="J11" s="6" t="n">
        <v>0.78</v>
      </c>
      <c r="K11" s="6" t="n">
        <v>57.11</v>
      </c>
      <c r="L11" s="8"/>
    </row>
    <row r="12" customFormat="false" ht="15" hidden="false" customHeight="false" outlineLevel="0" collapsed="false">
      <c r="A12" s="4" t="s">
        <v>21</v>
      </c>
      <c r="B12" s="4" t="n">
        <v>2023</v>
      </c>
      <c r="C12" s="4" t="s">
        <v>17</v>
      </c>
      <c r="D12" s="5" t="n">
        <v>129.9</v>
      </c>
      <c r="E12" s="6" t="n">
        <v>163800</v>
      </c>
      <c r="F12" s="6" t="n">
        <v>13104</v>
      </c>
      <c r="G12" s="6" t="n">
        <v>9828</v>
      </c>
      <c r="H12" s="7" t="n">
        <v>21277620</v>
      </c>
      <c r="I12" s="6" t="n">
        <v>0</v>
      </c>
      <c r="J12" s="6" t="n">
        <v>0.78</v>
      </c>
      <c r="K12" s="6" t="n">
        <v>114.31</v>
      </c>
      <c r="L12" s="4"/>
    </row>
    <row r="13" customFormat="false" ht="15" hidden="false" customHeight="false" outlineLevel="0" collapsed="false">
      <c r="A13" s="8" t="s">
        <v>21</v>
      </c>
      <c r="B13" s="8" t="n">
        <v>2023</v>
      </c>
      <c r="C13" s="8" t="s">
        <v>18</v>
      </c>
      <c r="D13" s="5" t="n">
        <v>49.9</v>
      </c>
      <c r="E13" s="6" t="n">
        <v>53040</v>
      </c>
      <c r="F13" s="6" t="n">
        <v>4243</v>
      </c>
      <c r="G13" s="6" t="n">
        <v>3182</v>
      </c>
      <c r="H13" s="9" t="n">
        <v>2646696</v>
      </c>
      <c r="I13" s="6" t="n">
        <v>0</v>
      </c>
      <c r="J13" s="6" t="n">
        <v>0.78</v>
      </c>
      <c r="K13" s="6" t="n">
        <v>43.91</v>
      </c>
      <c r="L13" s="8"/>
    </row>
    <row r="14" customFormat="false" ht="15" hidden="false" customHeight="false" outlineLevel="0" collapsed="false">
      <c r="A14" s="4" t="s">
        <v>21</v>
      </c>
      <c r="B14" s="4" t="n">
        <v>2023</v>
      </c>
      <c r="C14" s="4" t="s">
        <v>19</v>
      </c>
      <c r="D14" s="5" t="n">
        <v>39.9</v>
      </c>
      <c r="E14" s="6" t="n">
        <v>42900</v>
      </c>
      <c r="F14" s="6" t="n">
        <v>3432</v>
      </c>
      <c r="G14" s="6" t="n">
        <v>2574</v>
      </c>
      <c r="H14" s="7" t="n">
        <v>1711710</v>
      </c>
      <c r="I14" s="6" t="n">
        <v>0</v>
      </c>
      <c r="J14" s="6" t="n">
        <v>0.78</v>
      </c>
      <c r="K14" s="6" t="n">
        <v>35.11</v>
      </c>
      <c r="L14" s="4"/>
    </row>
    <row r="15" customFormat="false" ht="15" hidden="false" customHeight="false" outlineLevel="0" collapsed="false">
      <c r="A15" s="8" t="s">
        <v>21</v>
      </c>
      <c r="B15" s="8" t="n">
        <v>2023</v>
      </c>
      <c r="C15" s="8" t="s">
        <v>20</v>
      </c>
      <c r="D15" s="5" t="n">
        <v>179.9</v>
      </c>
      <c r="E15" s="6" t="n">
        <v>74100</v>
      </c>
      <c r="F15" s="6" t="n">
        <v>5928</v>
      </c>
      <c r="G15" s="6" t="n">
        <v>4446</v>
      </c>
      <c r="H15" s="9" t="n">
        <v>13330590</v>
      </c>
      <c r="I15" s="6" t="n">
        <v>0</v>
      </c>
      <c r="J15" s="6" t="n">
        <v>0.78</v>
      </c>
      <c r="K15" s="6" t="n">
        <v>158.31</v>
      </c>
      <c r="L15" s="8"/>
    </row>
    <row r="16" customFormat="false" ht="15" hidden="false" customHeight="false" outlineLevel="0" collapsed="false">
      <c r="A16" s="4" t="s">
        <v>22</v>
      </c>
      <c r="B16" s="4" t="n">
        <v>2023</v>
      </c>
      <c r="C16" s="4" t="s">
        <v>15</v>
      </c>
      <c r="D16" s="5" t="n">
        <v>89.9</v>
      </c>
      <c r="E16" s="6" t="n">
        <v>77350</v>
      </c>
      <c r="F16" s="6" t="n">
        <v>6188</v>
      </c>
      <c r="G16" s="6" t="n">
        <v>4641</v>
      </c>
      <c r="H16" s="7" t="n">
        <v>6953765</v>
      </c>
      <c r="I16" s="6" t="n">
        <v>0</v>
      </c>
      <c r="J16" s="6" t="n">
        <v>0.91</v>
      </c>
      <c r="K16" s="6" t="n">
        <v>79.11</v>
      </c>
      <c r="L16" s="4"/>
    </row>
    <row r="17" customFormat="false" ht="15" hidden="false" customHeight="false" outlineLevel="0" collapsed="false">
      <c r="A17" s="8" t="s">
        <v>22</v>
      </c>
      <c r="B17" s="8" t="n">
        <v>2023</v>
      </c>
      <c r="C17" s="8" t="s">
        <v>16</v>
      </c>
      <c r="D17" s="5" t="n">
        <v>64.9</v>
      </c>
      <c r="E17" s="6" t="n">
        <v>38220</v>
      </c>
      <c r="F17" s="6" t="n">
        <v>3057</v>
      </c>
      <c r="G17" s="6" t="n">
        <v>2293</v>
      </c>
      <c r="H17" s="9" t="n">
        <v>2480478</v>
      </c>
      <c r="I17" s="6" t="n">
        <v>0</v>
      </c>
      <c r="J17" s="6" t="n">
        <v>0.91</v>
      </c>
      <c r="K17" s="6" t="n">
        <v>57.11</v>
      </c>
      <c r="L17" s="8"/>
    </row>
    <row r="18" customFormat="false" ht="15" hidden="false" customHeight="false" outlineLevel="0" collapsed="false">
      <c r="A18" s="4" t="s">
        <v>22</v>
      </c>
      <c r="B18" s="4" t="n">
        <v>2023</v>
      </c>
      <c r="C18" s="4" t="s">
        <v>17</v>
      </c>
      <c r="D18" s="5" t="n">
        <v>129.9</v>
      </c>
      <c r="E18" s="6" t="n">
        <v>191100</v>
      </c>
      <c r="F18" s="6" t="n">
        <v>15288</v>
      </c>
      <c r="G18" s="6" t="n">
        <v>11466</v>
      </c>
      <c r="H18" s="7" t="n">
        <v>24823890</v>
      </c>
      <c r="I18" s="6" t="n">
        <v>0</v>
      </c>
      <c r="J18" s="6" t="n">
        <v>0.91</v>
      </c>
      <c r="K18" s="6" t="n">
        <v>114.31</v>
      </c>
      <c r="L18" s="4"/>
    </row>
    <row r="19" customFormat="false" ht="15" hidden="false" customHeight="false" outlineLevel="0" collapsed="false">
      <c r="A19" s="8" t="s">
        <v>22</v>
      </c>
      <c r="B19" s="8" t="n">
        <v>2023</v>
      </c>
      <c r="C19" s="8" t="s">
        <v>18</v>
      </c>
      <c r="D19" s="5" t="n">
        <v>49.9</v>
      </c>
      <c r="E19" s="6" t="n">
        <v>61880</v>
      </c>
      <c r="F19" s="6" t="n">
        <v>4950</v>
      </c>
      <c r="G19" s="6" t="n">
        <v>3712</v>
      </c>
      <c r="H19" s="9" t="n">
        <v>3087812</v>
      </c>
      <c r="I19" s="6" t="n">
        <v>0</v>
      </c>
      <c r="J19" s="6" t="n">
        <v>0.91</v>
      </c>
      <c r="K19" s="6" t="n">
        <v>43.91</v>
      </c>
      <c r="L19" s="8"/>
    </row>
    <row r="20" customFormat="false" ht="15" hidden="false" customHeight="false" outlineLevel="0" collapsed="false">
      <c r="A20" s="4" t="s">
        <v>22</v>
      </c>
      <c r="B20" s="4" t="n">
        <v>2023</v>
      </c>
      <c r="C20" s="4" t="s">
        <v>19</v>
      </c>
      <c r="D20" s="5" t="n">
        <v>39.9</v>
      </c>
      <c r="E20" s="6" t="n">
        <v>50050</v>
      </c>
      <c r="F20" s="6" t="n">
        <v>4004</v>
      </c>
      <c r="G20" s="6" t="n">
        <v>3003</v>
      </c>
      <c r="H20" s="7" t="n">
        <v>1996995</v>
      </c>
      <c r="I20" s="6" t="n">
        <v>0</v>
      </c>
      <c r="J20" s="6" t="n">
        <v>0.91</v>
      </c>
      <c r="K20" s="6" t="n">
        <v>35.11</v>
      </c>
      <c r="L20" s="4"/>
    </row>
    <row r="21" customFormat="false" ht="15" hidden="false" customHeight="false" outlineLevel="0" collapsed="false">
      <c r="A21" s="8" t="s">
        <v>22</v>
      </c>
      <c r="B21" s="8" t="n">
        <v>2023</v>
      </c>
      <c r="C21" s="8" t="s">
        <v>20</v>
      </c>
      <c r="D21" s="5" t="n">
        <v>179.9</v>
      </c>
      <c r="E21" s="6" t="n">
        <v>86450</v>
      </c>
      <c r="F21" s="6" t="n">
        <v>6916</v>
      </c>
      <c r="G21" s="6" t="n">
        <v>5187</v>
      </c>
      <c r="H21" s="9" t="n">
        <v>15552355</v>
      </c>
      <c r="I21" s="6" t="n">
        <v>0</v>
      </c>
      <c r="J21" s="6" t="n">
        <v>0.91</v>
      </c>
      <c r="K21" s="6" t="n">
        <v>158.31</v>
      </c>
      <c r="L21" s="8"/>
    </row>
    <row r="22" customFormat="false" ht="15" hidden="false" customHeight="false" outlineLevel="0" collapsed="false">
      <c r="A22" s="4" t="s">
        <v>23</v>
      </c>
      <c r="B22" s="4" t="n">
        <v>2023</v>
      </c>
      <c r="C22" s="4" t="s">
        <v>15</v>
      </c>
      <c r="D22" s="5" t="n">
        <v>89.9</v>
      </c>
      <c r="E22" s="6" t="n">
        <v>80750</v>
      </c>
      <c r="F22" s="6" t="n">
        <v>6460</v>
      </c>
      <c r="G22" s="6" t="n">
        <v>4845</v>
      </c>
      <c r="H22" s="7" t="n">
        <v>7259425</v>
      </c>
      <c r="I22" s="6" t="n">
        <v>0</v>
      </c>
      <c r="J22" s="6" t="n">
        <v>0.95</v>
      </c>
      <c r="K22" s="6" t="n">
        <v>79.11</v>
      </c>
      <c r="L22" s="4"/>
    </row>
    <row r="23" customFormat="false" ht="15" hidden="false" customHeight="false" outlineLevel="0" collapsed="false">
      <c r="A23" s="8" t="s">
        <v>23</v>
      </c>
      <c r="B23" s="8" t="n">
        <v>2023</v>
      </c>
      <c r="C23" s="8" t="s">
        <v>16</v>
      </c>
      <c r="D23" s="5" t="n">
        <v>64.9</v>
      </c>
      <c r="E23" s="6" t="n">
        <v>39900</v>
      </c>
      <c r="F23" s="6" t="n">
        <v>3192</v>
      </c>
      <c r="G23" s="6" t="n">
        <v>2394</v>
      </c>
      <c r="H23" s="9" t="n">
        <v>2589510</v>
      </c>
      <c r="I23" s="6" t="n">
        <v>0</v>
      </c>
      <c r="J23" s="6" t="n">
        <v>0.95</v>
      </c>
      <c r="K23" s="6" t="n">
        <v>57.11</v>
      </c>
      <c r="L23" s="8"/>
    </row>
    <row r="24" customFormat="false" ht="15" hidden="false" customHeight="false" outlineLevel="0" collapsed="false">
      <c r="A24" s="4" t="s">
        <v>23</v>
      </c>
      <c r="B24" s="4" t="n">
        <v>2023</v>
      </c>
      <c r="C24" s="4" t="s">
        <v>17</v>
      </c>
      <c r="D24" s="5" t="n">
        <v>129.9</v>
      </c>
      <c r="E24" s="6" t="n">
        <v>199500</v>
      </c>
      <c r="F24" s="6" t="n">
        <v>15960</v>
      </c>
      <c r="G24" s="6" t="n">
        <v>11970</v>
      </c>
      <c r="H24" s="7" t="n">
        <v>25915050</v>
      </c>
      <c r="I24" s="6" t="n">
        <v>0</v>
      </c>
      <c r="J24" s="6" t="n">
        <v>0.95</v>
      </c>
      <c r="K24" s="6" t="n">
        <v>114.31</v>
      </c>
      <c r="L24" s="4"/>
    </row>
    <row r="25" customFormat="false" ht="15" hidden="false" customHeight="false" outlineLevel="0" collapsed="false">
      <c r="A25" s="8" t="s">
        <v>23</v>
      </c>
      <c r="B25" s="8" t="n">
        <v>2023</v>
      </c>
      <c r="C25" s="8" t="s">
        <v>18</v>
      </c>
      <c r="D25" s="5" t="n">
        <v>49.9</v>
      </c>
      <c r="E25" s="6" t="n">
        <v>64600</v>
      </c>
      <c r="F25" s="6" t="n">
        <v>5168</v>
      </c>
      <c r="G25" s="6" t="n">
        <v>3876</v>
      </c>
      <c r="H25" s="9" t="n">
        <v>3223540</v>
      </c>
      <c r="I25" s="6" t="n">
        <v>0</v>
      </c>
      <c r="J25" s="6" t="n">
        <v>0.95</v>
      </c>
      <c r="K25" s="6" t="n">
        <v>43.91</v>
      </c>
      <c r="L25" s="8"/>
    </row>
    <row r="26" customFormat="false" ht="15" hidden="false" customHeight="false" outlineLevel="0" collapsed="false">
      <c r="A26" s="4" t="s">
        <v>23</v>
      </c>
      <c r="B26" s="4" t="n">
        <v>2023</v>
      </c>
      <c r="C26" s="4" t="s">
        <v>19</v>
      </c>
      <c r="D26" s="5" t="n">
        <v>39.9</v>
      </c>
      <c r="E26" s="6" t="n">
        <v>52250</v>
      </c>
      <c r="F26" s="6" t="n">
        <v>4180</v>
      </c>
      <c r="G26" s="6" t="n">
        <v>3135</v>
      </c>
      <c r="H26" s="7" t="n">
        <v>2084775</v>
      </c>
      <c r="I26" s="6" t="n">
        <v>0</v>
      </c>
      <c r="J26" s="6" t="n">
        <v>0.95</v>
      </c>
      <c r="K26" s="6" t="n">
        <v>35.11</v>
      </c>
      <c r="L26" s="4"/>
    </row>
    <row r="27" customFormat="false" ht="15" hidden="false" customHeight="false" outlineLevel="0" collapsed="false">
      <c r="A27" s="8" t="s">
        <v>23</v>
      </c>
      <c r="B27" s="8" t="n">
        <v>2023</v>
      </c>
      <c r="C27" s="8" t="s">
        <v>20</v>
      </c>
      <c r="D27" s="5" t="n">
        <v>179.9</v>
      </c>
      <c r="E27" s="6" t="n">
        <v>90250</v>
      </c>
      <c r="F27" s="6" t="n">
        <v>7220</v>
      </c>
      <c r="G27" s="6" t="n">
        <v>5415</v>
      </c>
      <c r="H27" s="9" t="n">
        <v>16235975</v>
      </c>
      <c r="I27" s="6" t="n">
        <v>0</v>
      </c>
      <c r="J27" s="6" t="n">
        <v>0.95</v>
      </c>
      <c r="K27" s="6" t="n">
        <v>158.31</v>
      </c>
      <c r="L27" s="8"/>
    </row>
    <row r="28" customFormat="false" ht="15" hidden="false" customHeight="false" outlineLevel="0" collapsed="false">
      <c r="A28" s="4" t="s">
        <v>24</v>
      </c>
      <c r="B28" s="4" t="n">
        <v>2023</v>
      </c>
      <c r="C28" s="4" t="s">
        <v>15</v>
      </c>
      <c r="D28" s="5" t="n">
        <v>89.9</v>
      </c>
      <c r="E28" s="6" t="n">
        <v>93500</v>
      </c>
      <c r="F28" s="6" t="n">
        <v>7480</v>
      </c>
      <c r="G28" s="6" t="n">
        <v>5610</v>
      </c>
      <c r="H28" s="7" t="n">
        <v>8405650</v>
      </c>
      <c r="I28" s="6" t="n">
        <v>0</v>
      </c>
      <c r="J28" s="6" t="n">
        <v>1.1</v>
      </c>
      <c r="K28" s="6" t="n">
        <v>79.11</v>
      </c>
      <c r="L28" s="4"/>
    </row>
    <row r="29" customFormat="false" ht="15" hidden="false" customHeight="false" outlineLevel="0" collapsed="false">
      <c r="A29" s="8" t="s">
        <v>24</v>
      </c>
      <c r="B29" s="8" t="n">
        <v>2023</v>
      </c>
      <c r="C29" s="8" t="s">
        <v>16</v>
      </c>
      <c r="D29" s="5" t="n">
        <v>64.9</v>
      </c>
      <c r="E29" s="6" t="n">
        <v>46200</v>
      </c>
      <c r="F29" s="6" t="n">
        <v>3696</v>
      </c>
      <c r="G29" s="6" t="n">
        <v>2772</v>
      </c>
      <c r="H29" s="9" t="n">
        <v>2998380</v>
      </c>
      <c r="I29" s="6" t="n">
        <v>0</v>
      </c>
      <c r="J29" s="6" t="n">
        <v>1.1</v>
      </c>
      <c r="K29" s="6" t="n">
        <v>57.11</v>
      </c>
      <c r="L29" s="8"/>
    </row>
    <row r="30" customFormat="false" ht="15" hidden="false" customHeight="false" outlineLevel="0" collapsed="false">
      <c r="A30" s="4" t="s">
        <v>24</v>
      </c>
      <c r="B30" s="4" t="n">
        <v>2023</v>
      </c>
      <c r="C30" s="4" t="s">
        <v>17</v>
      </c>
      <c r="D30" s="5" t="n">
        <v>129.9</v>
      </c>
      <c r="E30" s="6" t="n">
        <v>231000</v>
      </c>
      <c r="F30" s="6" t="n">
        <v>18480</v>
      </c>
      <c r="G30" s="6" t="n">
        <v>13860</v>
      </c>
      <c r="H30" s="7" t="n">
        <v>30006900</v>
      </c>
      <c r="I30" s="6" t="n">
        <v>0</v>
      </c>
      <c r="J30" s="6" t="n">
        <v>1.1</v>
      </c>
      <c r="K30" s="6" t="n">
        <v>114.31</v>
      </c>
      <c r="L30" s="4"/>
    </row>
    <row r="31" customFormat="false" ht="15" hidden="false" customHeight="false" outlineLevel="0" collapsed="false">
      <c r="A31" s="8" t="s">
        <v>24</v>
      </c>
      <c r="B31" s="8" t="n">
        <v>2023</v>
      </c>
      <c r="C31" s="8" t="s">
        <v>18</v>
      </c>
      <c r="D31" s="5" t="n">
        <v>49.9</v>
      </c>
      <c r="E31" s="6" t="n">
        <v>74800</v>
      </c>
      <c r="F31" s="6" t="n">
        <v>5984</v>
      </c>
      <c r="G31" s="6" t="n">
        <v>4488</v>
      </c>
      <c r="H31" s="9" t="n">
        <v>3732520</v>
      </c>
      <c r="I31" s="6" t="n">
        <v>0</v>
      </c>
      <c r="J31" s="6" t="n">
        <v>1.1</v>
      </c>
      <c r="K31" s="6" t="n">
        <v>43.91</v>
      </c>
      <c r="L31" s="8"/>
    </row>
    <row r="32" customFormat="false" ht="15" hidden="false" customHeight="false" outlineLevel="0" collapsed="false">
      <c r="A32" s="4" t="s">
        <v>24</v>
      </c>
      <c r="B32" s="4" t="n">
        <v>2023</v>
      </c>
      <c r="C32" s="4" t="s">
        <v>19</v>
      </c>
      <c r="D32" s="5" t="n">
        <v>39.9</v>
      </c>
      <c r="E32" s="6" t="n">
        <v>60500</v>
      </c>
      <c r="F32" s="6" t="n">
        <v>4840</v>
      </c>
      <c r="G32" s="6" t="n">
        <v>3630</v>
      </c>
      <c r="H32" s="7" t="n">
        <v>2413950</v>
      </c>
      <c r="I32" s="6" t="n">
        <v>0</v>
      </c>
      <c r="J32" s="6" t="n">
        <v>1.1</v>
      </c>
      <c r="K32" s="6" t="n">
        <v>35.11</v>
      </c>
      <c r="L32" s="4"/>
    </row>
    <row r="33" customFormat="false" ht="15" hidden="false" customHeight="false" outlineLevel="0" collapsed="false">
      <c r="A33" s="8" t="s">
        <v>24</v>
      </c>
      <c r="B33" s="8" t="n">
        <v>2023</v>
      </c>
      <c r="C33" s="8" t="s">
        <v>20</v>
      </c>
      <c r="D33" s="5" t="n">
        <v>179.9</v>
      </c>
      <c r="E33" s="6" t="n">
        <v>104500</v>
      </c>
      <c r="F33" s="6" t="n">
        <v>8360</v>
      </c>
      <c r="G33" s="6" t="n">
        <v>6270</v>
      </c>
      <c r="H33" s="9" t="n">
        <v>18799550</v>
      </c>
      <c r="I33" s="6" t="n">
        <v>0</v>
      </c>
      <c r="J33" s="6" t="n">
        <v>1.1</v>
      </c>
      <c r="K33" s="6" t="n">
        <v>158.31</v>
      </c>
      <c r="L33" s="8"/>
    </row>
    <row r="34" customFormat="false" ht="15" hidden="false" customHeight="false" outlineLevel="0" collapsed="false">
      <c r="A34" s="4" t="s">
        <v>25</v>
      </c>
      <c r="B34" s="4" t="n">
        <v>2023</v>
      </c>
      <c r="C34" s="4" t="s">
        <v>15</v>
      </c>
      <c r="D34" s="5" t="n">
        <v>89.9</v>
      </c>
      <c r="E34" s="6" t="n">
        <v>89250</v>
      </c>
      <c r="F34" s="6" t="n">
        <v>7140</v>
      </c>
      <c r="G34" s="6" t="n">
        <v>5355</v>
      </c>
      <c r="H34" s="7" t="n">
        <v>8023575</v>
      </c>
      <c r="I34" s="6" t="n">
        <v>1</v>
      </c>
      <c r="J34" s="6" t="n">
        <v>1.05</v>
      </c>
      <c r="K34" s="6" t="n">
        <v>79.11</v>
      </c>
      <c r="L34" s="4"/>
    </row>
    <row r="35" customFormat="false" ht="15" hidden="false" customHeight="false" outlineLevel="0" collapsed="false">
      <c r="A35" s="8" t="s">
        <v>25</v>
      </c>
      <c r="B35" s="8" t="n">
        <v>2023</v>
      </c>
      <c r="C35" s="8" t="s">
        <v>16</v>
      </c>
      <c r="D35" s="5" t="n">
        <v>64.9</v>
      </c>
      <c r="E35" s="6" t="n">
        <v>44100</v>
      </c>
      <c r="F35" s="6" t="n">
        <v>3528</v>
      </c>
      <c r="G35" s="6" t="n">
        <v>2646</v>
      </c>
      <c r="H35" s="9" t="n">
        <v>2862090</v>
      </c>
      <c r="I35" s="6" t="n">
        <v>1</v>
      </c>
      <c r="J35" s="6" t="n">
        <v>1.05</v>
      </c>
      <c r="K35" s="6" t="n">
        <v>57.11</v>
      </c>
      <c r="L35" s="8"/>
    </row>
    <row r="36" customFormat="false" ht="15" hidden="false" customHeight="false" outlineLevel="0" collapsed="false">
      <c r="A36" s="4" t="s">
        <v>25</v>
      </c>
      <c r="B36" s="4" t="n">
        <v>2023</v>
      </c>
      <c r="C36" s="4" t="s">
        <v>17</v>
      </c>
      <c r="D36" s="5" t="n">
        <v>129.9</v>
      </c>
      <c r="E36" s="6" t="n">
        <v>220500</v>
      </c>
      <c r="F36" s="6" t="n">
        <v>17640</v>
      </c>
      <c r="G36" s="6" t="n">
        <v>13230</v>
      </c>
      <c r="H36" s="7" t="n">
        <v>28642950</v>
      </c>
      <c r="I36" s="6" t="n">
        <v>1</v>
      </c>
      <c r="J36" s="6" t="n">
        <v>1.05</v>
      </c>
      <c r="K36" s="6" t="n">
        <v>114.31</v>
      </c>
      <c r="L36" s="4"/>
    </row>
    <row r="37" customFormat="false" ht="15" hidden="false" customHeight="false" outlineLevel="0" collapsed="false">
      <c r="A37" s="8" t="s">
        <v>25</v>
      </c>
      <c r="B37" s="8" t="n">
        <v>2023</v>
      </c>
      <c r="C37" s="8" t="s">
        <v>18</v>
      </c>
      <c r="D37" s="5" t="n">
        <v>49.9</v>
      </c>
      <c r="E37" s="6" t="n">
        <v>71400</v>
      </c>
      <c r="F37" s="6" t="n">
        <v>5712</v>
      </c>
      <c r="G37" s="6" t="n">
        <v>4284</v>
      </c>
      <c r="H37" s="9" t="n">
        <v>3562860</v>
      </c>
      <c r="I37" s="6" t="n">
        <v>1</v>
      </c>
      <c r="J37" s="6" t="n">
        <v>1.05</v>
      </c>
      <c r="K37" s="6" t="n">
        <v>43.91</v>
      </c>
      <c r="L37" s="8"/>
    </row>
    <row r="38" customFormat="false" ht="15" hidden="false" customHeight="false" outlineLevel="0" collapsed="false">
      <c r="A38" s="4" t="s">
        <v>25</v>
      </c>
      <c r="B38" s="4" t="n">
        <v>2023</v>
      </c>
      <c r="C38" s="4" t="s">
        <v>19</v>
      </c>
      <c r="D38" s="5" t="n">
        <v>39.9</v>
      </c>
      <c r="E38" s="6" t="n">
        <v>57750</v>
      </c>
      <c r="F38" s="6" t="n">
        <v>4620</v>
      </c>
      <c r="G38" s="6" t="n">
        <v>3465</v>
      </c>
      <c r="H38" s="7" t="n">
        <v>2304225</v>
      </c>
      <c r="I38" s="6" t="n">
        <v>1</v>
      </c>
      <c r="J38" s="6" t="n">
        <v>1.05</v>
      </c>
      <c r="K38" s="6" t="n">
        <v>35.11</v>
      </c>
      <c r="L38" s="4"/>
    </row>
    <row r="39" customFormat="false" ht="15" hidden="false" customHeight="false" outlineLevel="0" collapsed="false">
      <c r="A39" s="8" t="s">
        <v>25</v>
      </c>
      <c r="B39" s="8" t="n">
        <v>2023</v>
      </c>
      <c r="C39" s="8" t="s">
        <v>20</v>
      </c>
      <c r="D39" s="5" t="n">
        <v>179.9</v>
      </c>
      <c r="E39" s="6" t="n">
        <v>99750</v>
      </c>
      <c r="F39" s="6" t="n">
        <v>7980</v>
      </c>
      <c r="G39" s="6" t="n">
        <v>5985</v>
      </c>
      <c r="H39" s="9" t="n">
        <v>17945025</v>
      </c>
      <c r="I39" s="6" t="n">
        <v>1</v>
      </c>
      <c r="J39" s="6" t="n">
        <v>1.05</v>
      </c>
      <c r="K39" s="6" t="n">
        <v>158.31</v>
      </c>
      <c r="L39" s="8"/>
    </row>
    <row r="40" customFormat="false" ht="15" hidden="false" customHeight="false" outlineLevel="0" collapsed="false">
      <c r="A40" s="4" t="s">
        <v>26</v>
      </c>
      <c r="B40" s="4" t="n">
        <v>2023</v>
      </c>
      <c r="C40" s="4" t="s">
        <v>15</v>
      </c>
      <c r="D40" s="5" t="n">
        <v>89.9</v>
      </c>
      <c r="E40" s="6" t="n">
        <v>83300</v>
      </c>
      <c r="F40" s="6" t="n">
        <v>6664</v>
      </c>
      <c r="G40" s="6" t="n">
        <v>4998</v>
      </c>
      <c r="H40" s="7" t="n">
        <v>7488670</v>
      </c>
      <c r="I40" s="6" t="n">
        <v>0</v>
      </c>
      <c r="J40" s="6" t="n">
        <v>0.98</v>
      </c>
      <c r="K40" s="6" t="n">
        <v>79.11</v>
      </c>
      <c r="L40" s="4"/>
    </row>
    <row r="41" customFormat="false" ht="15" hidden="false" customHeight="false" outlineLevel="0" collapsed="false">
      <c r="A41" s="8" t="s">
        <v>26</v>
      </c>
      <c r="B41" s="8" t="n">
        <v>2023</v>
      </c>
      <c r="C41" s="8" t="s">
        <v>16</v>
      </c>
      <c r="D41" s="5" t="n">
        <v>64.9</v>
      </c>
      <c r="E41" s="6" t="n">
        <v>41160</v>
      </c>
      <c r="F41" s="6" t="n">
        <v>3292</v>
      </c>
      <c r="G41" s="6" t="n">
        <v>2469</v>
      </c>
      <c r="H41" s="9" t="n">
        <v>2671284</v>
      </c>
      <c r="I41" s="6" t="n">
        <v>0</v>
      </c>
      <c r="J41" s="6" t="n">
        <v>0.98</v>
      </c>
      <c r="K41" s="6" t="n">
        <v>57.11</v>
      </c>
      <c r="L41" s="8"/>
    </row>
    <row r="42" customFormat="false" ht="15" hidden="false" customHeight="false" outlineLevel="0" collapsed="false">
      <c r="A42" s="4" t="s">
        <v>26</v>
      </c>
      <c r="B42" s="4" t="n">
        <v>2023</v>
      </c>
      <c r="C42" s="4" t="s">
        <v>17</v>
      </c>
      <c r="D42" s="5" t="n">
        <v>129.9</v>
      </c>
      <c r="E42" s="6" t="n">
        <v>205800</v>
      </c>
      <c r="F42" s="6" t="n">
        <v>16464</v>
      </c>
      <c r="G42" s="6" t="n">
        <v>12348</v>
      </c>
      <c r="H42" s="7" t="n">
        <v>26733420</v>
      </c>
      <c r="I42" s="6" t="n">
        <v>0</v>
      </c>
      <c r="J42" s="6" t="n">
        <v>0.98</v>
      </c>
      <c r="K42" s="6" t="n">
        <v>114.31</v>
      </c>
      <c r="L42" s="4"/>
    </row>
    <row r="43" customFormat="false" ht="15" hidden="false" customHeight="false" outlineLevel="0" collapsed="false">
      <c r="A43" s="8" t="s">
        <v>26</v>
      </c>
      <c r="B43" s="8" t="n">
        <v>2023</v>
      </c>
      <c r="C43" s="8" t="s">
        <v>18</v>
      </c>
      <c r="D43" s="5" t="n">
        <v>49.9</v>
      </c>
      <c r="E43" s="6" t="n">
        <v>66640</v>
      </c>
      <c r="F43" s="6" t="n">
        <v>5331</v>
      </c>
      <c r="G43" s="6" t="n">
        <v>3998</v>
      </c>
      <c r="H43" s="9" t="n">
        <v>3325336</v>
      </c>
      <c r="I43" s="6" t="n">
        <v>0</v>
      </c>
      <c r="J43" s="6" t="n">
        <v>0.98</v>
      </c>
      <c r="K43" s="6" t="n">
        <v>43.91</v>
      </c>
      <c r="L43" s="8"/>
    </row>
    <row r="44" customFormat="false" ht="15" hidden="false" customHeight="false" outlineLevel="0" collapsed="false">
      <c r="A44" s="4" t="s">
        <v>26</v>
      </c>
      <c r="B44" s="4" t="n">
        <v>2023</v>
      </c>
      <c r="C44" s="4" t="s">
        <v>19</v>
      </c>
      <c r="D44" s="5" t="n">
        <v>39.9</v>
      </c>
      <c r="E44" s="6" t="n">
        <v>53900</v>
      </c>
      <c r="F44" s="6" t="n">
        <v>4312</v>
      </c>
      <c r="G44" s="6" t="n">
        <v>3234</v>
      </c>
      <c r="H44" s="7" t="n">
        <v>2150610</v>
      </c>
      <c r="I44" s="6" t="n">
        <v>0</v>
      </c>
      <c r="J44" s="6" t="n">
        <v>0.98</v>
      </c>
      <c r="K44" s="6" t="n">
        <v>35.11</v>
      </c>
      <c r="L44" s="4"/>
    </row>
    <row r="45" customFormat="false" ht="15" hidden="false" customHeight="false" outlineLevel="0" collapsed="false">
      <c r="A45" s="8" t="s">
        <v>26</v>
      </c>
      <c r="B45" s="8" t="n">
        <v>2023</v>
      </c>
      <c r="C45" s="8" t="s">
        <v>20</v>
      </c>
      <c r="D45" s="5" t="n">
        <v>179.9</v>
      </c>
      <c r="E45" s="6" t="n">
        <v>93100</v>
      </c>
      <c r="F45" s="6" t="n">
        <v>7448</v>
      </c>
      <c r="G45" s="6" t="n">
        <v>5586</v>
      </c>
      <c r="H45" s="9" t="n">
        <v>16748690</v>
      </c>
      <c r="I45" s="6" t="n">
        <v>0</v>
      </c>
      <c r="J45" s="6" t="n">
        <v>0.98</v>
      </c>
      <c r="K45" s="6" t="n">
        <v>158.31</v>
      </c>
      <c r="L45" s="8"/>
    </row>
    <row r="46" customFormat="false" ht="15" hidden="false" customHeight="false" outlineLevel="0" collapsed="false">
      <c r="A46" s="4" t="s">
        <v>27</v>
      </c>
      <c r="B46" s="4" t="n">
        <v>2023</v>
      </c>
      <c r="C46" s="4" t="s">
        <v>15</v>
      </c>
      <c r="D46" s="5" t="n">
        <v>89.9</v>
      </c>
      <c r="E46" s="6" t="n">
        <v>86700</v>
      </c>
      <c r="F46" s="6" t="n">
        <v>6936</v>
      </c>
      <c r="G46" s="6" t="n">
        <v>5202</v>
      </c>
      <c r="H46" s="7" t="n">
        <v>7794330</v>
      </c>
      <c r="I46" s="6" t="n">
        <v>0</v>
      </c>
      <c r="J46" s="6" t="n">
        <v>1.02</v>
      </c>
      <c r="K46" s="6" t="n">
        <v>79.11</v>
      </c>
      <c r="L46" s="4"/>
    </row>
    <row r="47" customFormat="false" ht="15" hidden="false" customHeight="false" outlineLevel="0" collapsed="false">
      <c r="A47" s="8" t="s">
        <v>27</v>
      </c>
      <c r="B47" s="8" t="n">
        <v>2023</v>
      </c>
      <c r="C47" s="8" t="s">
        <v>16</v>
      </c>
      <c r="D47" s="5" t="n">
        <v>64.9</v>
      </c>
      <c r="E47" s="6" t="n">
        <v>42840</v>
      </c>
      <c r="F47" s="6" t="n">
        <v>3427</v>
      </c>
      <c r="G47" s="6" t="n">
        <v>2570</v>
      </c>
      <c r="H47" s="9" t="n">
        <v>2780316</v>
      </c>
      <c r="I47" s="6" t="n">
        <v>0</v>
      </c>
      <c r="J47" s="6" t="n">
        <v>1.02</v>
      </c>
      <c r="K47" s="6" t="n">
        <v>57.11</v>
      </c>
      <c r="L47" s="8"/>
    </row>
    <row r="48" customFormat="false" ht="15" hidden="false" customHeight="false" outlineLevel="0" collapsed="false">
      <c r="A48" s="4" t="s">
        <v>27</v>
      </c>
      <c r="B48" s="4" t="n">
        <v>2023</v>
      </c>
      <c r="C48" s="4" t="s">
        <v>17</v>
      </c>
      <c r="D48" s="5" t="n">
        <v>129.9</v>
      </c>
      <c r="E48" s="6" t="n">
        <v>214200</v>
      </c>
      <c r="F48" s="6" t="n">
        <v>17136</v>
      </c>
      <c r="G48" s="6" t="n">
        <v>12852</v>
      </c>
      <c r="H48" s="7" t="n">
        <v>27824580</v>
      </c>
      <c r="I48" s="6" t="n">
        <v>0</v>
      </c>
      <c r="J48" s="6" t="n">
        <v>1.02</v>
      </c>
      <c r="K48" s="6" t="n">
        <v>114.31</v>
      </c>
      <c r="L48" s="4"/>
    </row>
    <row r="49" customFormat="false" ht="15" hidden="false" customHeight="false" outlineLevel="0" collapsed="false">
      <c r="A49" s="8" t="s">
        <v>27</v>
      </c>
      <c r="B49" s="8" t="n">
        <v>2023</v>
      </c>
      <c r="C49" s="8" t="s">
        <v>18</v>
      </c>
      <c r="D49" s="5" t="n">
        <v>49.9</v>
      </c>
      <c r="E49" s="6" t="n">
        <v>69360</v>
      </c>
      <c r="F49" s="6" t="n">
        <v>5548</v>
      </c>
      <c r="G49" s="6" t="n">
        <v>4161</v>
      </c>
      <c r="H49" s="9" t="n">
        <v>3461064</v>
      </c>
      <c r="I49" s="6" t="n">
        <v>0</v>
      </c>
      <c r="J49" s="6" t="n">
        <v>1.02</v>
      </c>
      <c r="K49" s="6" t="n">
        <v>43.91</v>
      </c>
      <c r="L49" s="8"/>
    </row>
    <row r="50" customFormat="false" ht="15" hidden="false" customHeight="false" outlineLevel="0" collapsed="false">
      <c r="A50" s="4" t="s">
        <v>27</v>
      </c>
      <c r="B50" s="4" t="n">
        <v>2023</v>
      </c>
      <c r="C50" s="4" t="s">
        <v>19</v>
      </c>
      <c r="D50" s="5" t="n">
        <v>39.9</v>
      </c>
      <c r="E50" s="6" t="n">
        <v>56100</v>
      </c>
      <c r="F50" s="6" t="n">
        <v>4488</v>
      </c>
      <c r="G50" s="6" t="n">
        <v>3366</v>
      </c>
      <c r="H50" s="7" t="n">
        <v>2238390</v>
      </c>
      <c r="I50" s="6" t="n">
        <v>0</v>
      </c>
      <c r="J50" s="6" t="n">
        <v>1.02</v>
      </c>
      <c r="K50" s="6" t="n">
        <v>35.11</v>
      </c>
      <c r="L50" s="4"/>
    </row>
    <row r="51" customFormat="false" ht="15" hidden="false" customHeight="false" outlineLevel="0" collapsed="false">
      <c r="A51" s="8" t="s">
        <v>27</v>
      </c>
      <c r="B51" s="8" t="n">
        <v>2023</v>
      </c>
      <c r="C51" s="8" t="s">
        <v>20</v>
      </c>
      <c r="D51" s="5" t="n">
        <v>179.9</v>
      </c>
      <c r="E51" s="6" t="n">
        <v>96900</v>
      </c>
      <c r="F51" s="6" t="n">
        <v>7752</v>
      </c>
      <c r="G51" s="6" t="n">
        <v>5814</v>
      </c>
      <c r="H51" s="9" t="n">
        <v>17432310</v>
      </c>
      <c r="I51" s="6" t="n">
        <v>0</v>
      </c>
      <c r="J51" s="6" t="n">
        <v>1.02</v>
      </c>
      <c r="K51" s="6" t="n">
        <v>158.31</v>
      </c>
      <c r="L51" s="8"/>
    </row>
    <row r="52" customFormat="false" ht="15" hidden="false" customHeight="false" outlineLevel="0" collapsed="false">
      <c r="A52" s="4" t="s">
        <v>28</v>
      </c>
      <c r="B52" s="4" t="n">
        <v>2023</v>
      </c>
      <c r="C52" s="4" t="s">
        <v>15</v>
      </c>
      <c r="D52" s="5" t="n">
        <v>89.9</v>
      </c>
      <c r="E52" s="6" t="n">
        <v>91800</v>
      </c>
      <c r="F52" s="6" t="n">
        <v>7344</v>
      </c>
      <c r="G52" s="6" t="n">
        <v>5508</v>
      </c>
      <c r="H52" s="7" t="n">
        <v>8252820</v>
      </c>
      <c r="I52" s="6" t="n">
        <v>0</v>
      </c>
      <c r="J52" s="6" t="n">
        <v>1.08</v>
      </c>
      <c r="K52" s="6" t="n">
        <v>79.11</v>
      </c>
      <c r="L52" s="4"/>
    </row>
    <row r="53" customFormat="false" ht="15" hidden="false" customHeight="false" outlineLevel="0" collapsed="false">
      <c r="A53" s="8" t="s">
        <v>28</v>
      </c>
      <c r="B53" s="8" t="n">
        <v>2023</v>
      </c>
      <c r="C53" s="8" t="s">
        <v>16</v>
      </c>
      <c r="D53" s="5" t="n">
        <v>64.9</v>
      </c>
      <c r="E53" s="6" t="n">
        <v>45360</v>
      </c>
      <c r="F53" s="6" t="n">
        <v>3628</v>
      </c>
      <c r="G53" s="6" t="n">
        <v>2721</v>
      </c>
      <c r="H53" s="9" t="n">
        <v>2943864</v>
      </c>
      <c r="I53" s="6" t="n">
        <v>0</v>
      </c>
      <c r="J53" s="6" t="n">
        <v>1.08</v>
      </c>
      <c r="K53" s="6" t="n">
        <v>57.11</v>
      </c>
      <c r="L53" s="8"/>
    </row>
    <row r="54" customFormat="false" ht="15" hidden="false" customHeight="false" outlineLevel="0" collapsed="false">
      <c r="A54" s="4" t="s">
        <v>28</v>
      </c>
      <c r="B54" s="4" t="n">
        <v>2023</v>
      </c>
      <c r="C54" s="4" t="s">
        <v>17</v>
      </c>
      <c r="D54" s="5" t="n">
        <v>129.9</v>
      </c>
      <c r="E54" s="6" t="n">
        <v>226800</v>
      </c>
      <c r="F54" s="6" t="n">
        <v>18144</v>
      </c>
      <c r="G54" s="6" t="n">
        <v>13608</v>
      </c>
      <c r="H54" s="7" t="n">
        <v>29461320</v>
      </c>
      <c r="I54" s="6" t="n">
        <v>0</v>
      </c>
      <c r="J54" s="6" t="n">
        <v>1.08</v>
      </c>
      <c r="K54" s="6" t="n">
        <v>114.31</v>
      </c>
      <c r="L54" s="4"/>
    </row>
    <row r="55" customFormat="false" ht="15" hidden="false" customHeight="false" outlineLevel="0" collapsed="false">
      <c r="A55" s="8" t="s">
        <v>28</v>
      </c>
      <c r="B55" s="8" t="n">
        <v>2023</v>
      </c>
      <c r="C55" s="8" t="s">
        <v>18</v>
      </c>
      <c r="D55" s="5" t="n">
        <v>49.9</v>
      </c>
      <c r="E55" s="6" t="n">
        <v>73440</v>
      </c>
      <c r="F55" s="6" t="n">
        <v>5875</v>
      </c>
      <c r="G55" s="6" t="n">
        <v>4406</v>
      </c>
      <c r="H55" s="9" t="n">
        <v>3664656</v>
      </c>
      <c r="I55" s="6" t="n">
        <v>0</v>
      </c>
      <c r="J55" s="6" t="n">
        <v>1.08</v>
      </c>
      <c r="K55" s="6" t="n">
        <v>43.91</v>
      </c>
      <c r="L55" s="8"/>
    </row>
    <row r="56" customFormat="false" ht="15" hidden="false" customHeight="false" outlineLevel="0" collapsed="false">
      <c r="A56" s="4" t="s">
        <v>28</v>
      </c>
      <c r="B56" s="4" t="n">
        <v>2023</v>
      </c>
      <c r="C56" s="4" t="s">
        <v>19</v>
      </c>
      <c r="D56" s="5" t="n">
        <v>39.9</v>
      </c>
      <c r="E56" s="6" t="n">
        <v>59400</v>
      </c>
      <c r="F56" s="6" t="n">
        <v>4752</v>
      </c>
      <c r="G56" s="6" t="n">
        <v>3564</v>
      </c>
      <c r="H56" s="7" t="n">
        <v>2370060</v>
      </c>
      <c r="I56" s="6" t="n">
        <v>0</v>
      </c>
      <c r="J56" s="6" t="n">
        <v>1.08</v>
      </c>
      <c r="K56" s="6" t="n">
        <v>35.11</v>
      </c>
      <c r="L56" s="4"/>
    </row>
    <row r="57" customFormat="false" ht="15" hidden="false" customHeight="false" outlineLevel="0" collapsed="false">
      <c r="A57" s="8" t="s">
        <v>28</v>
      </c>
      <c r="B57" s="8" t="n">
        <v>2023</v>
      </c>
      <c r="C57" s="8" t="s">
        <v>20</v>
      </c>
      <c r="D57" s="5" t="n">
        <v>179.9</v>
      </c>
      <c r="E57" s="6" t="n">
        <v>102600</v>
      </c>
      <c r="F57" s="6" t="n">
        <v>8208</v>
      </c>
      <c r="G57" s="6" t="n">
        <v>6156</v>
      </c>
      <c r="H57" s="9" t="n">
        <v>18457740</v>
      </c>
      <c r="I57" s="6" t="n">
        <v>0</v>
      </c>
      <c r="J57" s="6" t="n">
        <v>1.08</v>
      </c>
      <c r="K57" s="6" t="n">
        <v>158.31</v>
      </c>
      <c r="L57" s="8"/>
    </row>
    <row r="58" customFormat="false" ht="15" hidden="false" customHeight="false" outlineLevel="0" collapsed="false">
      <c r="A58" s="4" t="s">
        <v>29</v>
      </c>
      <c r="B58" s="4" t="n">
        <v>2023</v>
      </c>
      <c r="C58" s="4" t="s">
        <v>15</v>
      </c>
      <c r="D58" s="5" t="n">
        <v>89.9</v>
      </c>
      <c r="E58" s="6" t="n">
        <v>95200</v>
      </c>
      <c r="F58" s="6" t="n">
        <v>7616</v>
      </c>
      <c r="G58" s="6" t="n">
        <v>5712</v>
      </c>
      <c r="H58" s="7" t="n">
        <v>8558480</v>
      </c>
      <c r="I58" s="6" t="n">
        <v>0</v>
      </c>
      <c r="J58" s="6" t="n">
        <v>1.12</v>
      </c>
      <c r="K58" s="6" t="n">
        <v>79.11</v>
      </c>
      <c r="L58" s="4"/>
    </row>
    <row r="59" customFormat="false" ht="15" hidden="false" customHeight="false" outlineLevel="0" collapsed="false">
      <c r="A59" s="8" t="s">
        <v>29</v>
      </c>
      <c r="B59" s="8" t="n">
        <v>2023</v>
      </c>
      <c r="C59" s="8" t="s">
        <v>16</v>
      </c>
      <c r="D59" s="5" t="n">
        <v>64.9</v>
      </c>
      <c r="E59" s="6" t="n">
        <v>47040</v>
      </c>
      <c r="F59" s="6" t="n">
        <v>3763</v>
      </c>
      <c r="G59" s="6" t="n">
        <v>2822</v>
      </c>
      <c r="H59" s="9" t="n">
        <v>3052896</v>
      </c>
      <c r="I59" s="6" t="n">
        <v>0</v>
      </c>
      <c r="J59" s="6" t="n">
        <v>1.12</v>
      </c>
      <c r="K59" s="6" t="n">
        <v>57.11</v>
      </c>
      <c r="L59" s="8"/>
    </row>
    <row r="60" customFormat="false" ht="15" hidden="false" customHeight="false" outlineLevel="0" collapsed="false">
      <c r="A60" s="4" t="s">
        <v>29</v>
      </c>
      <c r="B60" s="4" t="n">
        <v>2023</v>
      </c>
      <c r="C60" s="4" t="s">
        <v>17</v>
      </c>
      <c r="D60" s="5" t="n">
        <v>129.9</v>
      </c>
      <c r="E60" s="6" t="n">
        <v>235200</v>
      </c>
      <c r="F60" s="6" t="n">
        <v>18816</v>
      </c>
      <c r="G60" s="6" t="n">
        <v>14112</v>
      </c>
      <c r="H60" s="7" t="n">
        <v>30552480</v>
      </c>
      <c r="I60" s="6" t="n">
        <v>0</v>
      </c>
      <c r="J60" s="6" t="n">
        <v>1.12</v>
      </c>
      <c r="K60" s="6" t="n">
        <v>114.31</v>
      </c>
      <c r="L60" s="4"/>
    </row>
    <row r="61" customFormat="false" ht="15" hidden="false" customHeight="false" outlineLevel="0" collapsed="false">
      <c r="A61" s="8" t="s">
        <v>29</v>
      </c>
      <c r="B61" s="8" t="n">
        <v>2023</v>
      </c>
      <c r="C61" s="8" t="s">
        <v>18</v>
      </c>
      <c r="D61" s="5" t="n">
        <v>49.9</v>
      </c>
      <c r="E61" s="6" t="n">
        <v>76160</v>
      </c>
      <c r="F61" s="6" t="n">
        <v>6092</v>
      </c>
      <c r="G61" s="6" t="n">
        <v>4569</v>
      </c>
      <c r="H61" s="9" t="n">
        <v>3800384</v>
      </c>
      <c r="I61" s="6" t="n">
        <v>0</v>
      </c>
      <c r="J61" s="6" t="n">
        <v>1.12</v>
      </c>
      <c r="K61" s="6" t="n">
        <v>43.91</v>
      </c>
      <c r="L61" s="8"/>
    </row>
    <row r="62" customFormat="false" ht="15" hidden="false" customHeight="false" outlineLevel="0" collapsed="false">
      <c r="A62" s="4" t="s">
        <v>29</v>
      </c>
      <c r="B62" s="4" t="n">
        <v>2023</v>
      </c>
      <c r="C62" s="4" t="s">
        <v>19</v>
      </c>
      <c r="D62" s="5" t="n">
        <v>39.9</v>
      </c>
      <c r="E62" s="6" t="n">
        <v>61600</v>
      </c>
      <c r="F62" s="6" t="n">
        <v>4928</v>
      </c>
      <c r="G62" s="6" t="n">
        <v>3696</v>
      </c>
      <c r="H62" s="7" t="n">
        <v>2457840</v>
      </c>
      <c r="I62" s="6" t="n">
        <v>0</v>
      </c>
      <c r="J62" s="6" t="n">
        <v>1.12</v>
      </c>
      <c r="K62" s="6" t="n">
        <v>35.11</v>
      </c>
      <c r="L62" s="4"/>
    </row>
    <row r="63" customFormat="false" ht="15" hidden="false" customHeight="false" outlineLevel="0" collapsed="false">
      <c r="A63" s="8" t="s">
        <v>29</v>
      </c>
      <c r="B63" s="8" t="n">
        <v>2023</v>
      </c>
      <c r="C63" s="8" t="s">
        <v>20</v>
      </c>
      <c r="D63" s="5" t="n">
        <v>179.9</v>
      </c>
      <c r="E63" s="6" t="n">
        <v>106400</v>
      </c>
      <c r="F63" s="6" t="n">
        <v>8512</v>
      </c>
      <c r="G63" s="6" t="n">
        <v>6384</v>
      </c>
      <c r="H63" s="9" t="n">
        <v>19141360</v>
      </c>
      <c r="I63" s="6" t="n">
        <v>0</v>
      </c>
      <c r="J63" s="6" t="n">
        <v>1.12</v>
      </c>
      <c r="K63" s="6" t="n">
        <v>158.31</v>
      </c>
      <c r="L63" s="8"/>
    </row>
    <row r="64" customFormat="false" ht="15" hidden="false" customHeight="false" outlineLevel="0" collapsed="false">
      <c r="A64" s="4" t="s">
        <v>30</v>
      </c>
      <c r="B64" s="4" t="n">
        <v>2023</v>
      </c>
      <c r="C64" s="4" t="s">
        <v>15</v>
      </c>
      <c r="D64" s="5" t="n">
        <v>89.9</v>
      </c>
      <c r="E64" s="6" t="n">
        <v>114750</v>
      </c>
      <c r="F64" s="6" t="n">
        <v>9180</v>
      </c>
      <c r="G64" s="6" t="n">
        <v>6885</v>
      </c>
      <c r="H64" s="7" t="n">
        <v>10316025</v>
      </c>
      <c r="I64" s="6" t="n">
        <v>0</v>
      </c>
      <c r="J64" s="6" t="n">
        <v>1.35</v>
      </c>
      <c r="K64" s="6" t="n">
        <v>79.11</v>
      </c>
      <c r="L64" s="4"/>
    </row>
    <row r="65" customFormat="false" ht="15" hidden="false" customHeight="false" outlineLevel="0" collapsed="false">
      <c r="A65" s="8" t="s">
        <v>30</v>
      </c>
      <c r="B65" s="8" t="n">
        <v>2023</v>
      </c>
      <c r="C65" s="8" t="s">
        <v>16</v>
      </c>
      <c r="D65" s="5" t="n">
        <v>64.9</v>
      </c>
      <c r="E65" s="6" t="n">
        <v>56700</v>
      </c>
      <c r="F65" s="6" t="n">
        <v>4536</v>
      </c>
      <c r="G65" s="6" t="n">
        <v>3402</v>
      </c>
      <c r="H65" s="9" t="n">
        <v>3679830</v>
      </c>
      <c r="I65" s="6" t="n">
        <v>0</v>
      </c>
      <c r="J65" s="6" t="n">
        <v>1.35</v>
      </c>
      <c r="K65" s="6" t="n">
        <v>57.11</v>
      </c>
      <c r="L65" s="8"/>
    </row>
    <row r="66" customFormat="false" ht="15" hidden="false" customHeight="false" outlineLevel="0" collapsed="false">
      <c r="A66" s="4" t="s">
        <v>30</v>
      </c>
      <c r="B66" s="4" t="n">
        <v>2023</v>
      </c>
      <c r="C66" s="4" t="s">
        <v>17</v>
      </c>
      <c r="D66" s="5" t="n">
        <v>129.9</v>
      </c>
      <c r="E66" s="6" t="n">
        <v>283500</v>
      </c>
      <c r="F66" s="6" t="n">
        <v>22680</v>
      </c>
      <c r="G66" s="6" t="n">
        <v>17010</v>
      </c>
      <c r="H66" s="7" t="n">
        <v>36826650</v>
      </c>
      <c r="I66" s="6" t="n">
        <v>0</v>
      </c>
      <c r="J66" s="6" t="n">
        <v>1.35</v>
      </c>
      <c r="K66" s="6" t="n">
        <v>114.31</v>
      </c>
      <c r="L66" s="4"/>
    </row>
    <row r="67" customFormat="false" ht="15" hidden="false" customHeight="false" outlineLevel="0" collapsed="false">
      <c r="A67" s="8" t="s">
        <v>30</v>
      </c>
      <c r="B67" s="8" t="n">
        <v>2023</v>
      </c>
      <c r="C67" s="8" t="s">
        <v>18</v>
      </c>
      <c r="D67" s="5" t="n">
        <v>49.9</v>
      </c>
      <c r="E67" s="6" t="n">
        <v>91800</v>
      </c>
      <c r="F67" s="6" t="n">
        <v>7344</v>
      </c>
      <c r="G67" s="6" t="n">
        <v>5508</v>
      </c>
      <c r="H67" s="9" t="n">
        <v>4580820</v>
      </c>
      <c r="I67" s="6" t="n">
        <v>0</v>
      </c>
      <c r="J67" s="6" t="n">
        <v>1.35</v>
      </c>
      <c r="K67" s="6" t="n">
        <v>43.91</v>
      </c>
      <c r="L67" s="8"/>
    </row>
    <row r="68" customFormat="false" ht="15" hidden="false" customHeight="false" outlineLevel="0" collapsed="false">
      <c r="A68" s="4" t="s">
        <v>30</v>
      </c>
      <c r="B68" s="4" t="n">
        <v>2023</v>
      </c>
      <c r="C68" s="4" t="s">
        <v>19</v>
      </c>
      <c r="D68" s="5" t="n">
        <v>39.9</v>
      </c>
      <c r="E68" s="6" t="n">
        <v>74250</v>
      </c>
      <c r="F68" s="6" t="n">
        <v>5940</v>
      </c>
      <c r="G68" s="6" t="n">
        <v>4455</v>
      </c>
      <c r="H68" s="7" t="n">
        <v>2962575</v>
      </c>
      <c r="I68" s="6" t="n">
        <v>0</v>
      </c>
      <c r="J68" s="6" t="n">
        <v>1.35</v>
      </c>
      <c r="K68" s="6" t="n">
        <v>35.11</v>
      </c>
      <c r="L68" s="4"/>
    </row>
    <row r="69" customFormat="false" ht="15" hidden="false" customHeight="false" outlineLevel="0" collapsed="false">
      <c r="A69" s="8" t="s">
        <v>30</v>
      </c>
      <c r="B69" s="8" t="n">
        <v>2023</v>
      </c>
      <c r="C69" s="8" t="s">
        <v>20</v>
      </c>
      <c r="D69" s="5" t="n">
        <v>179.9</v>
      </c>
      <c r="E69" s="6" t="n">
        <v>128250</v>
      </c>
      <c r="F69" s="6" t="n">
        <v>10260</v>
      </c>
      <c r="G69" s="6" t="n">
        <v>7695</v>
      </c>
      <c r="H69" s="9" t="n">
        <v>23072175</v>
      </c>
      <c r="I69" s="6" t="n">
        <v>0</v>
      </c>
      <c r="J69" s="6" t="n">
        <v>1.35</v>
      </c>
      <c r="K69" s="6" t="n">
        <v>158.31</v>
      </c>
      <c r="L69" s="8"/>
    </row>
    <row r="70" customFormat="false" ht="15" hidden="false" customHeight="false" outlineLevel="0" collapsed="false">
      <c r="A70" s="4" t="s">
        <v>31</v>
      </c>
      <c r="B70" s="4" t="n">
        <v>2023</v>
      </c>
      <c r="C70" s="4" t="s">
        <v>15</v>
      </c>
      <c r="D70" s="5" t="n">
        <v>89.9</v>
      </c>
      <c r="E70" s="6" t="n">
        <v>106250</v>
      </c>
      <c r="F70" s="6" t="n">
        <v>8500</v>
      </c>
      <c r="G70" s="6" t="n">
        <v>6375</v>
      </c>
      <c r="H70" s="7" t="n">
        <v>9551875</v>
      </c>
      <c r="I70" s="6" t="n">
        <v>1</v>
      </c>
      <c r="J70" s="6" t="n">
        <v>1.25</v>
      </c>
      <c r="K70" s="6" t="n">
        <v>79.11</v>
      </c>
      <c r="L70" s="4"/>
    </row>
    <row r="71" customFormat="false" ht="15" hidden="false" customHeight="false" outlineLevel="0" collapsed="false">
      <c r="A71" s="8" t="s">
        <v>31</v>
      </c>
      <c r="B71" s="8" t="n">
        <v>2023</v>
      </c>
      <c r="C71" s="8" t="s">
        <v>16</v>
      </c>
      <c r="D71" s="5" t="n">
        <v>64.9</v>
      </c>
      <c r="E71" s="6" t="n">
        <v>52500</v>
      </c>
      <c r="F71" s="6" t="n">
        <v>4200</v>
      </c>
      <c r="G71" s="6" t="n">
        <v>3150</v>
      </c>
      <c r="H71" s="9" t="n">
        <v>3407250</v>
      </c>
      <c r="I71" s="6" t="n">
        <v>1</v>
      </c>
      <c r="J71" s="6" t="n">
        <v>1.25</v>
      </c>
      <c r="K71" s="6" t="n">
        <v>57.11</v>
      </c>
      <c r="L71" s="8"/>
    </row>
    <row r="72" customFormat="false" ht="15" hidden="false" customHeight="false" outlineLevel="0" collapsed="false">
      <c r="A72" s="4" t="s">
        <v>31</v>
      </c>
      <c r="B72" s="4" t="n">
        <v>2023</v>
      </c>
      <c r="C72" s="4" t="s">
        <v>17</v>
      </c>
      <c r="D72" s="5" t="n">
        <v>129.9</v>
      </c>
      <c r="E72" s="6" t="n">
        <v>262500</v>
      </c>
      <c r="F72" s="6" t="n">
        <v>21000</v>
      </c>
      <c r="G72" s="6" t="n">
        <v>15750</v>
      </c>
      <c r="H72" s="7" t="n">
        <v>34098750</v>
      </c>
      <c r="I72" s="6" t="n">
        <v>1</v>
      </c>
      <c r="J72" s="6" t="n">
        <v>1.25</v>
      </c>
      <c r="K72" s="6" t="n">
        <v>114.31</v>
      </c>
      <c r="L72" s="4"/>
    </row>
    <row r="73" customFormat="false" ht="15" hidden="false" customHeight="false" outlineLevel="0" collapsed="false">
      <c r="A73" s="8" t="s">
        <v>31</v>
      </c>
      <c r="B73" s="8" t="n">
        <v>2023</v>
      </c>
      <c r="C73" s="8" t="s">
        <v>18</v>
      </c>
      <c r="D73" s="5" t="n">
        <v>49.9</v>
      </c>
      <c r="E73" s="6" t="n">
        <v>85000</v>
      </c>
      <c r="F73" s="6" t="n">
        <v>6800</v>
      </c>
      <c r="G73" s="6" t="n">
        <v>5100</v>
      </c>
      <c r="H73" s="9" t="n">
        <v>4241500</v>
      </c>
      <c r="I73" s="6" t="n">
        <v>1</v>
      </c>
      <c r="J73" s="6" t="n">
        <v>1.25</v>
      </c>
      <c r="K73" s="6" t="n">
        <v>43.91</v>
      </c>
      <c r="L73" s="8"/>
    </row>
    <row r="74" customFormat="false" ht="15" hidden="false" customHeight="false" outlineLevel="0" collapsed="false">
      <c r="A74" s="4" t="s">
        <v>31</v>
      </c>
      <c r="B74" s="4" t="n">
        <v>2023</v>
      </c>
      <c r="C74" s="4" t="s">
        <v>19</v>
      </c>
      <c r="D74" s="5" t="n">
        <v>39.9</v>
      </c>
      <c r="E74" s="6" t="n">
        <v>68750</v>
      </c>
      <c r="F74" s="6" t="n">
        <v>5500</v>
      </c>
      <c r="G74" s="6" t="n">
        <v>4125</v>
      </c>
      <c r="H74" s="7" t="n">
        <v>2743125</v>
      </c>
      <c r="I74" s="6" t="n">
        <v>1</v>
      </c>
      <c r="J74" s="6" t="n">
        <v>1.25</v>
      </c>
      <c r="K74" s="6" t="n">
        <v>35.11</v>
      </c>
      <c r="L74" s="4"/>
    </row>
    <row r="75" customFormat="false" ht="15" hidden="false" customHeight="false" outlineLevel="0" collapsed="false">
      <c r="A75" s="8" t="s">
        <v>31</v>
      </c>
      <c r="B75" s="8" t="n">
        <v>2023</v>
      </c>
      <c r="C75" s="8" t="s">
        <v>20</v>
      </c>
      <c r="D75" s="5" t="n">
        <v>179.9</v>
      </c>
      <c r="E75" s="6" t="n">
        <v>118750</v>
      </c>
      <c r="F75" s="6" t="n">
        <v>9500</v>
      </c>
      <c r="G75" s="6" t="n">
        <v>7125</v>
      </c>
      <c r="H75" s="9" t="n">
        <v>21363125</v>
      </c>
      <c r="I75" s="6" t="n">
        <v>1</v>
      </c>
      <c r="J75" s="6" t="n">
        <v>1.25</v>
      </c>
      <c r="K75" s="6" t="n">
        <v>158.31</v>
      </c>
      <c r="L75" s="8"/>
    </row>
    <row r="76" customFormat="false" ht="15" hidden="false" customHeight="false" outlineLevel="0" collapsed="false">
      <c r="A76" s="4" t="s">
        <v>14</v>
      </c>
      <c r="B76" s="4" t="n">
        <v>2024</v>
      </c>
      <c r="C76" s="4" t="s">
        <v>15</v>
      </c>
      <c r="D76" s="5" t="n">
        <v>89.9</v>
      </c>
      <c r="E76" s="6" t="n">
        <v>71094</v>
      </c>
      <c r="F76" s="6" t="n">
        <v>5687</v>
      </c>
      <c r="G76" s="6" t="n">
        <v>4265</v>
      </c>
      <c r="H76" s="7" t="n">
        <v>6391350.6</v>
      </c>
      <c r="I76" s="6" t="n">
        <v>1</v>
      </c>
      <c r="J76" s="6" t="n">
        <v>0.82</v>
      </c>
      <c r="K76" s="6" t="n">
        <v>79.11</v>
      </c>
      <c r="L76" s="4"/>
    </row>
    <row r="77" customFormat="false" ht="15" hidden="false" customHeight="false" outlineLevel="0" collapsed="false">
      <c r="A77" s="8" t="s">
        <v>14</v>
      </c>
      <c r="B77" s="8" t="n">
        <v>2024</v>
      </c>
      <c r="C77" s="8" t="s">
        <v>16</v>
      </c>
      <c r="D77" s="5" t="n">
        <v>64.9</v>
      </c>
      <c r="E77" s="6" t="n">
        <v>35128</v>
      </c>
      <c r="F77" s="6" t="n">
        <v>2810</v>
      </c>
      <c r="G77" s="6" t="n">
        <v>2107</v>
      </c>
      <c r="H77" s="9" t="n">
        <v>2279807.2</v>
      </c>
      <c r="I77" s="6" t="n">
        <v>1</v>
      </c>
      <c r="J77" s="6" t="n">
        <v>0.82</v>
      </c>
      <c r="K77" s="6" t="n">
        <v>57.11</v>
      </c>
      <c r="L77" s="8"/>
    </row>
    <row r="78" customFormat="false" ht="15" hidden="false" customHeight="false" outlineLevel="0" collapsed="false">
      <c r="A78" s="4" t="s">
        <v>14</v>
      </c>
      <c r="B78" s="4" t="n">
        <v>2024</v>
      </c>
      <c r="C78" s="4" t="s">
        <v>17</v>
      </c>
      <c r="D78" s="5" t="n">
        <v>129.9</v>
      </c>
      <c r="E78" s="6" t="n">
        <v>175644</v>
      </c>
      <c r="F78" s="6" t="n">
        <v>14051</v>
      </c>
      <c r="G78" s="6" t="n">
        <v>10538</v>
      </c>
      <c r="H78" s="7" t="n">
        <v>22816155.6</v>
      </c>
      <c r="I78" s="6" t="n">
        <v>1</v>
      </c>
      <c r="J78" s="6" t="n">
        <v>0.82</v>
      </c>
      <c r="K78" s="6" t="n">
        <v>114.31</v>
      </c>
      <c r="L78" s="4"/>
    </row>
    <row r="79" customFormat="false" ht="15" hidden="false" customHeight="false" outlineLevel="0" collapsed="false">
      <c r="A79" s="8" t="s">
        <v>14</v>
      </c>
      <c r="B79" s="8" t="n">
        <v>2024</v>
      </c>
      <c r="C79" s="8" t="s">
        <v>18</v>
      </c>
      <c r="D79" s="5" t="n">
        <v>49.9</v>
      </c>
      <c r="E79" s="6" t="n">
        <v>56875</v>
      </c>
      <c r="F79" s="6" t="n">
        <v>4550</v>
      </c>
      <c r="G79" s="6" t="n">
        <v>3412</v>
      </c>
      <c r="H79" s="9" t="n">
        <v>2838062.5</v>
      </c>
      <c r="I79" s="6" t="n">
        <v>1</v>
      </c>
      <c r="J79" s="6" t="n">
        <v>0.82</v>
      </c>
      <c r="K79" s="6" t="n">
        <v>43.91</v>
      </c>
      <c r="L79" s="8"/>
    </row>
    <row r="80" customFormat="false" ht="15" hidden="false" customHeight="false" outlineLevel="0" collapsed="false">
      <c r="A80" s="4" t="s">
        <v>14</v>
      </c>
      <c r="B80" s="4" t="n">
        <v>2024</v>
      </c>
      <c r="C80" s="4" t="s">
        <v>19</v>
      </c>
      <c r="D80" s="5" t="n">
        <v>39.9</v>
      </c>
      <c r="E80" s="6" t="n">
        <v>46002</v>
      </c>
      <c r="F80" s="6" t="n">
        <v>3680</v>
      </c>
      <c r="G80" s="6" t="n">
        <v>2760</v>
      </c>
      <c r="H80" s="7" t="n">
        <v>1835479.8</v>
      </c>
      <c r="I80" s="6" t="n">
        <v>1</v>
      </c>
      <c r="J80" s="6" t="n">
        <v>0.82</v>
      </c>
      <c r="K80" s="6" t="n">
        <v>35.11</v>
      </c>
      <c r="L80" s="4"/>
    </row>
    <row r="81" customFormat="false" ht="15" hidden="false" customHeight="false" outlineLevel="0" collapsed="false">
      <c r="A81" s="8" t="s">
        <v>14</v>
      </c>
      <c r="B81" s="8" t="n">
        <v>2024</v>
      </c>
      <c r="C81" s="8" t="s">
        <v>20</v>
      </c>
      <c r="D81" s="5" t="n">
        <v>179.9</v>
      </c>
      <c r="E81" s="6" t="n">
        <v>79458</v>
      </c>
      <c r="F81" s="6" t="n">
        <v>6356</v>
      </c>
      <c r="G81" s="6" t="n">
        <v>4767</v>
      </c>
      <c r="H81" s="9" t="n">
        <v>14294494.2</v>
      </c>
      <c r="I81" s="6" t="n">
        <v>1</v>
      </c>
      <c r="J81" s="6" t="n">
        <v>0.82</v>
      </c>
      <c r="K81" s="6" t="n">
        <v>158.31</v>
      </c>
      <c r="L81" s="8"/>
    </row>
    <row r="82" customFormat="false" ht="15" hidden="false" customHeight="false" outlineLevel="0" collapsed="false">
      <c r="A82" s="4" t="s">
        <v>21</v>
      </c>
      <c r="B82" s="4" t="n">
        <v>2024</v>
      </c>
      <c r="C82" s="4" t="s">
        <v>15</v>
      </c>
      <c r="D82" s="5" t="n">
        <v>89.9</v>
      </c>
      <c r="E82" s="6" t="n">
        <v>67626</v>
      </c>
      <c r="F82" s="6" t="n">
        <v>5410</v>
      </c>
      <c r="G82" s="6" t="n">
        <v>4057</v>
      </c>
      <c r="H82" s="7" t="n">
        <v>6079577.4</v>
      </c>
      <c r="I82" s="6" t="n">
        <v>0</v>
      </c>
      <c r="J82" s="6" t="n">
        <v>0.78</v>
      </c>
      <c r="K82" s="6" t="n">
        <v>79.11</v>
      </c>
      <c r="L82" s="4"/>
    </row>
    <row r="83" customFormat="false" ht="15" hidden="false" customHeight="false" outlineLevel="0" collapsed="false">
      <c r="A83" s="8" t="s">
        <v>21</v>
      </c>
      <c r="B83" s="8" t="n">
        <v>2024</v>
      </c>
      <c r="C83" s="8" t="s">
        <v>16</v>
      </c>
      <c r="D83" s="5" t="n">
        <v>64.9</v>
      </c>
      <c r="E83" s="6" t="n">
        <v>33415</v>
      </c>
      <c r="F83" s="6" t="n">
        <v>2673</v>
      </c>
      <c r="G83" s="6" t="n">
        <v>2004</v>
      </c>
      <c r="H83" s="9" t="n">
        <v>2168633.5</v>
      </c>
      <c r="I83" s="6" t="n">
        <v>0</v>
      </c>
      <c r="J83" s="6" t="n">
        <v>0.78</v>
      </c>
      <c r="K83" s="6" t="n">
        <v>57.11</v>
      </c>
      <c r="L83" s="8"/>
    </row>
    <row r="84" customFormat="false" ht="15" hidden="false" customHeight="false" outlineLevel="0" collapsed="false">
      <c r="A84" s="4" t="s">
        <v>21</v>
      </c>
      <c r="B84" s="4" t="n">
        <v>2024</v>
      </c>
      <c r="C84" s="4" t="s">
        <v>17</v>
      </c>
      <c r="D84" s="5" t="n">
        <v>129.9</v>
      </c>
      <c r="E84" s="6" t="n">
        <v>167076</v>
      </c>
      <c r="F84" s="6" t="n">
        <v>13366</v>
      </c>
      <c r="G84" s="6" t="n">
        <v>10024</v>
      </c>
      <c r="H84" s="7" t="n">
        <v>21703172.4</v>
      </c>
      <c r="I84" s="6" t="n">
        <v>0</v>
      </c>
      <c r="J84" s="6" t="n">
        <v>0.78</v>
      </c>
      <c r="K84" s="6" t="n">
        <v>114.31</v>
      </c>
      <c r="L84" s="4"/>
    </row>
    <row r="85" customFormat="false" ht="15" hidden="false" customHeight="false" outlineLevel="0" collapsed="false">
      <c r="A85" s="8" t="s">
        <v>21</v>
      </c>
      <c r="B85" s="8" t="n">
        <v>2024</v>
      </c>
      <c r="C85" s="8" t="s">
        <v>18</v>
      </c>
      <c r="D85" s="5" t="n">
        <v>49.9</v>
      </c>
      <c r="E85" s="6" t="n">
        <v>54100</v>
      </c>
      <c r="F85" s="6" t="n">
        <v>4328</v>
      </c>
      <c r="G85" s="6" t="n">
        <v>3246</v>
      </c>
      <c r="H85" s="9" t="n">
        <v>2699590</v>
      </c>
      <c r="I85" s="6" t="n">
        <v>0</v>
      </c>
      <c r="J85" s="6" t="n">
        <v>0.78</v>
      </c>
      <c r="K85" s="6" t="n">
        <v>43.91</v>
      </c>
      <c r="L85" s="8"/>
    </row>
    <row r="86" customFormat="false" ht="15" hidden="false" customHeight="false" outlineLevel="0" collapsed="false">
      <c r="A86" s="4" t="s">
        <v>21</v>
      </c>
      <c r="B86" s="4" t="n">
        <v>2024</v>
      </c>
      <c r="C86" s="4" t="s">
        <v>19</v>
      </c>
      <c r="D86" s="5" t="n">
        <v>39.9</v>
      </c>
      <c r="E86" s="6" t="n">
        <v>43758</v>
      </c>
      <c r="F86" s="6" t="n">
        <v>3500</v>
      </c>
      <c r="G86" s="6" t="n">
        <v>2625</v>
      </c>
      <c r="H86" s="7" t="n">
        <v>1745944.2</v>
      </c>
      <c r="I86" s="6" t="n">
        <v>0</v>
      </c>
      <c r="J86" s="6" t="n">
        <v>0.78</v>
      </c>
      <c r="K86" s="6" t="n">
        <v>35.11</v>
      </c>
      <c r="L86" s="4"/>
    </row>
    <row r="87" customFormat="false" ht="15" hidden="false" customHeight="false" outlineLevel="0" collapsed="false">
      <c r="A87" s="8" t="s">
        <v>21</v>
      </c>
      <c r="B87" s="8" t="n">
        <v>2024</v>
      </c>
      <c r="C87" s="8" t="s">
        <v>20</v>
      </c>
      <c r="D87" s="5" t="n">
        <v>179.9</v>
      </c>
      <c r="E87" s="6" t="n">
        <v>75582</v>
      </c>
      <c r="F87" s="6" t="n">
        <v>6046</v>
      </c>
      <c r="G87" s="6" t="n">
        <v>4534</v>
      </c>
      <c r="H87" s="9" t="n">
        <v>13597201.8</v>
      </c>
      <c r="I87" s="6" t="n">
        <v>0</v>
      </c>
      <c r="J87" s="6" t="n">
        <v>0.78</v>
      </c>
      <c r="K87" s="6" t="n">
        <v>158.31</v>
      </c>
      <c r="L87" s="8"/>
    </row>
    <row r="88" customFormat="false" ht="15" hidden="false" customHeight="false" outlineLevel="0" collapsed="false">
      <c r="A88" s="4" t="s">
        <v>22</v>
      </c>
      <c r="B88" s="4" t="n">
        <v>2024</v>
      </c>
      <c r="C88" s="4" t="s">
        <v>15</v>
      </c>
      <c r="D88" s="5" t="n">
        <v>89.9</v>
      </c>
      <c r="E88" s="6" t="n">
        <v>78897</v>
      </c>
      <c r="F88" s="6" t="n">
        <v>6311</v>
      </c>
      <c r="G88" s="6" t="n">
        <v>4733</v>
      </c>
      <c r="H88" s="7" t="n">
        <v>7092840.3</v>
      </c>
      <c r="I88" s="6" t="n">
        <v>0</v>
      </c>
      <c r="J88" s="6" t="n">
        <v>0.91</v>
      </c>
      <c r="K88" s="6" t="n">
        <v>79.11</v>
      </c>
      <c r="L88" s="4"/>
    </row>
    <row r="89" customFormat="false" ht="15" hidden="false" customHeight="false" outlineLevel="0" collapsed="false">
      <c r="A89" s="8" t="s">
        <v>22</v>
      </c>
      <c r="B89" s="8" t="n">
        <v>2024</v>
      </c>
      <c r="C89" s="8" t="s">
        <v>16</v>
      </c>
      <c r="D89" s="5" t="n">
        <v>64.9</v>
      </c>
      <c r="E89" s="6" t="n">
        <v>38984</v>
      </c>
      <c r="F89" s="6" t="n">
        <v>3118</v>
      </c>
      <c r="G89" s="6" t="n">
        <v>2339</v>
      </c>
      <c r="H89" s="9" t="n">
        <v>2530061.6</v>
      </c>
      <c r="I89" s="6" t="n">
        <v>0</v>
      </c>
      <c r="J89" s="6" t="n">
        <v>0.91</v>
      </c>
      <c r="K89" s="6" t="n">
        <v>57.11</v>
      </c>
      <c r="L89" s="8"/>
    </row>
    <row r="90" customFormat="false" ht="15" hidden="false" customHeight="false" outlineLevel="0" collapsed="false">
      <c r="A90" s="4" t="s">
        <v>22</v>
      </c>
      <c r="B90" s="4" t="n">
        <v>2024</v>
      </c>
      <c r="C90" s="4" t="s">
        <v>17</v>
      </c>
      <c r="D90" s="5" t="n">
        <v>129.9</v>
      </c>
      <c r="E90" s="6" t="n">
        <v>194922</v>
      </c>
      <c r="F90" s="6" t="n">
        <v>15593</v>
      </c>
      <c r="G90" s="6" t="n">
        <v>11695</v>
      </c>
      <c r="H90" s="7" t="n">
        <v>25320367.8</v>
      </c>
      <c r="I90" s="6" t="n">
        <v>0</v>
      </c>
      <c r="J90" s="6" t="n">
        <v>0.91</v>
      </c>
      <c r="K90" s="6" t="n">
        <v>114.31</v>
      </c>
      <c r="L90" s="4"/>
    </row>
    <row r="91" customFormat="false" ht="15" hidden="false" customHeight="false" outlineLevel="0" collapsed="false">
      <c r="A91" s="8" t="s">
        <v>22</v>
      </c>
      <c r="B91" s="8" t="n">
        <v>2024</v>
      </c>
      <c r="C91" s="8" t="s">
        <v>18</v>
      </c>
      <c r="D91" s="5" t="n">
        <v>49.9</v>
      </c>
      <c r="E91" s="6" t="n">
        <v>63117</v>
      </c>
      <c r="F91" s="6" t="n">
        <v>5049</v>
      </c>
      <c r="G91" s="6" t="n">
        <v>3787</v>
      </c>
      <c r="H91" s="9" t="n">
        <v>3149538.3</v>
      </c>
      <c r="I91" s="6" t="n">
        <v>0</v>
      </c>
      <c r="J91" s="6" t="n">
        <v>0.91</v>
      </c>
      <c r="K91" s="6" t="n">
        <v>43.91</v>
      </c>
      <c r="L91" s="8"/>
    </row>
    <row r="92" customFormat="false" ht="15" hidden="false" customHeight="false" outlineLevel="0" collapsed="false">
      <c r="A92" s="4" t="s">
        <v>22</v>
      </c>
      <c r="B92" s="4" t="n">
        <v>2024</v>
      </c>
      <c r="C92" s="4" t="s">
        <v>19</v>
      </c>
      <c r="D92" s="5" t="n">
        <v>39.9</v>
      </c>
      <c r="E92" s="6" t="n">
        <v>51051</v>
      </c>
      <c r="F92" s="6" t="n">
        <v>4084</v>
      </c>
      <c r="G92" s="6" t="n">
        <v>3063</v>
      </c>
      <c r="H92" s="7" t="n">
        <v>2036934.9</v>
      </c>
      <c r="I92" s="6" t="n">
        <v>0</v>
      </c>
      <c r="J92" s="6" t="n">
        <v>0.91</v>
      </c>
      <c r="K92" s="6" t="n">
        <v>35.11</v>
      </c>
      <c r="L92" s="4"/>
    </row>
    <row r="93" customFormat="false" ht="15" hidden="false" customHeight="false" outlineLevel="0" collapsed="false">
      <c r="A93" s="8" t="s">
        <v>22</v>
      </c>
      <c r="B93" s="8" t="n">
        <v>2024</v>
      </c>
      <c r="C93" s="8" t="s">
        <v>20</v>
      </c>
      <c r="D93" s="5" t="n">
        <v>179.9</v>
      </c>
      <c r="E93" s="6" t="n">
        <v>88179</v>
      </c>
      <c r="F93" s="6" t="n">
        <v>7054</v>
      </c>
      <c r="G93" s="6" t="n">
        <v>5290</v>
      </c>
      <c r="H93" s="9" t="n">
        <v>15863402.1</v>
      </c>
      <c r="I93" s="6" t="n">
        <v>0</v>
      </c>
      <c r="J93" s="6" t="n">
        <v>0.91</v>
      </c>
      <c r="K93" s="6" t="n">
        <v>158.31</v>
      </c>
      <c r="L93" s="8"/>
    </row>
    <row r="94" customFormat="false" ht="15" hidden="false" customHeight="false" outlineLevel="0" collapsed="false">
      <c r="A94" s="4" t="s">
        <v>23</v>
      </c>
      <c r="B94" s="4" t="n">
        <v>2024</v>
      </c>
      <c r="C94" s="4" t="s">
        <v>15</v>
      </c>
      <c r="D94" s="5" t="n">
        <v>89.9</v>
      </c>
      <c r="E94" s="6" t="n">
        <v>82365</v>
      </c>
      <c r="F94" s="6" t="n">
        <v>6589</v>
      </c>
      <c r="G94" s="6" t="n">
        <v>4941</v>
      </c>
      <c r="H94" s="7" t="n">
        <v>7404613.5</v>
      </c>
      <c r="I94" s="6" t="n">
        <v>0</v>
      </c>
      <c r="J94" s="6" t="n">
        <v>0.95</v>
      </c>
      <c r="K94" s="6" t="n">
        <v>79.11</v>
      </c>
      <c r="L94" s="4"/>
    </row>
    <row r="95" customFormat="false" ht="15" hidden="false" customHeight="false" outlineLevel="0" collapsed="false">
      <c r="A95" s="8" t="s">
        <v>23</v>
      </c>
      <c r="B95" s="8" t="n">
        <v>2024</v>
      </c>
      <c r="C95" s="8" t="s">
        <v>16</v>
      </c>
      <c r="D95" s="5" t="n">
        <v>64.9</v>
      </c>
      <c r="E95" s="6" t="n">
        <v>40698</v>
      </c>
      <c r="F95" s="6" t="n">
        <v>3255</v>
      </c>
      <c r="G95" s="6" t="n">
        <v>2441</v>
      </c>
      <c r="H95" s="9" t="n">
        <v>2641300.2</v>
      </c>
      <c r="I95" s="6" t="n">
        <v>0</v>
      </c>
      <c r="J95" s="6" t="n">
        <v>0.95</v>
      </c>
      <c r="K95" s="6" t="n">
        <v>57.11</v>
      </c>
      <c r="L95" s="8"/>
    </row>
    <row r="96" customFormat="false" ht="15" hidden="false" customHeight="false" outlineLevel="0" collapsed="false">
      <c r="A96" s="4" t="s">
        <v>23</v>
      </c>
      <c r="B96" s="4" t="n">
        <v>2024</v>
      </c>
      <c r="C96" s="4" t="s">
        <v>17</v>
      </c>
      <c r="D96" s="5" t="n">
        <v>129.9</v>
      </c>
      <c r="E96" s="6" t="n">
        <v>203490</v>
      </c>
      <c r="F96" s="6" t="n">
        <v>16279</v>
      </c>
      <c r="G96" s="6" t="n">
        <v>12209</v>
      </c>
      <c r="H96" s="7" t="n">
        <v>26433351</v>
      </c>
      <c r="I96" s="6" t="n">
        <v>0</v>
      </c>
      <c r="J96" s="6" t="n">
        <v>0.95</v>
      </c>
      <c r="K96" s="6" t="n">
        <v>114.31</v>
      </c>
      <c r="L96" s="4"/>
    </row>
    <row r="97" customFormat="false" ht="15" hidden="false" customHeight="false" outlineLevel="0" collapsed="false">
      <c r="A97" s="8" t="s">
        <v>23</v>
      </c>
      <c r="B97" s="8" t="n">
        <v>2024</v>
      </c>
      <c r="C97" s="8" t="s">
        <v>18</v>
      </c>
      <c r="D97" s="5" t="n">
        <v>49.9</v>
      </c>
      <c r="E97" s="6" t="n">
        <v>65892</v>
      </c>
      <c r="F97" s="6" t="n">
        <v>5271</v>
      </c>
      <c r="G97" s="6" t="n">
        <v>3953</v>
      </c>
      <c r="H97" s="9" t="n">
        <v>3288010.8</v>
      </c>
      <c r="I97" s="6" t="n">
        <v>0</v>
      </c>
      <c r="J97" s="6" t="n">
        <v>0.95</v>
      </c>
      <c r="K97" s="6" t="n">
        <v>43.91</v>
      </c>
      <c r="L97" s="8"/>
    </row>
    <row r="98" customFormat="false" ht="15" hidden="false" customHeight="false" outlineLevel="0" collapsed="false">
      <c r="A98" s="4" t="s">
        <v>23</v>
      </c>
      <c r="B98" s="4" t="n">
        <v>2024</v>
      </c>
      <c r="C98" s="4" t="s">
        <v>19</v>
      </c>
      <c r="D98" s="5" t="n">
        <v>39.9</v>
      </c>
      <c r="E98" s="6" t="n">
        <v>53295</v>
      </c>
      <c r="F98" s="6" t="n">
        <v>4263</v>
      </c>
      <c r="G98" s="6" t="n">
        <v>3197</v>
      </c>
      <c r="H98" s="7" t="n">
        <v>2126470.5</v>
      </c>
      <c r="I98" s="6" t="n">
        <v>0</v>
      </c>
      <c r="J98" s="6" t="n">
        <v>0.95</v>
      </c>
      <c r="K98" s="6" t="n">
        <v>35.11</v>
      </c>
      <c r="L98" s="4"/>
    </row>
    <row r="99" customFormat="false" ht="15" hidden="false" customHeight="false" outlineLevel="0" collapsed="false">
      <c r="A99" s="8" t="s">
        <v>23</v>
      </c>
      <c r="B99" s="8" t="n">
        <v>2024</v>
      </c>
      <c r="C99" s="8" t="s">
        <v>20</v>
      </c>
      <c r="D99" s="5" t="n">
        <v>179.9</v>
      </c>
      <c r="E99" s="6" t="n">
        <v>92055</v>
      </c>
      <c r="F99" s="6" t="n">
        <v>7364</v>
      </c>
      <c r="G99" s="6" t="n">
        <v>5523</v>
      </c>
      <c r="H99" s="9" t="n">
        <v>16560694.5</v>
      </c>
      <c r="I99" s="6" t="n">
        <v>0</v>
      </c>
      <c r="J99" s="6" t="n">
        <v>0.95</v>
      </c>
      <c r="K99" s="6" t="n">
        <v>158.31</v>
      </c>
      <c r="L99" s="8"/>
    </row>
    <row r="100" customFormat="false" ht="15" hidden="false" customHeight="false" outlineLevel="0" collapsed="false">
      <c r="A100" s="4" t="s">
        <v>24</v>
      </c>
      <c r="B100" s="4" t="n">
        <v>2024</v>
      </c>
      <c r="C100" s="4" t="s">
        <v>15</v>
      </c>
      <c r="D100" s="5" t="n">
        <v>89.9</v>
      </c>
      <c r="E100" s="6" t="n">
        <v>95370</v>
      </c>
      <c r="F100" s="6" t="n">
        <v>7629</v>
      </c>
      <c r="G100" s="6" t="n">
        <v>5722</v>
      </c>
      <c r="H100" s="7" t="n">
        <v>8573763</v>
      </c>
      <c r="I100" s="6" t="n">
        <v>0</v>
      </c>
      <c r="J100" s="6" t="n">
        <v>1.1</v>
      </c>
      <c r="K100" s="6" t="n">
        <v>79.11</v>
      </c>
      <c r="L100" s="4"/>
    </row>
    <row r="101" customFormat="false" ht="15" hidden="false" customHeight="false" outlineLevel="0" collapsed="false">
      <c r="A101" s="8" t="s">
        <v>24</v>
      </c>
      <c r="B101" s="8" t="n">
        <v>2024</v>
      </c>
      <c r="C101" s="8" t="s">
        <v>16</v>
      </c>
      <c r="D101" s="5" t="n">
        <v>64.9</v>
      </c>
      <c r="E101" s="6" t="n">
        <v>47124</v>
      </c>
      <c r="F101" s="6" t="n">
        <v>3769</v>
      </c>
      <c r="G101" s="6" t="n">
        <v>2827</v>
      </c>
      <c r="H101" s="9" t="n">
        <v>3058347.6</v>
      </c>
      <c r="I101" s="6" t="n">
        <v>0</v>
      </c>
      <c r="J101" s="6" t="n">
        <v>1.1</v>
      </c>
      <c r="K101" s="6" t="n">
        <v>57.11</v>
      </c>
      <c r="L101" s="8"/>
    </row>
    <row r="102" customFormat="false" ht="15" hidden="false" customHeight="false" outlineLevel="0" collapsed="false">
      <c r="A102" s="4" t="s">
        <v>24</v>
      </c>
      <c r="B102" s="4" t="n">
        <v>2024</v>
      </c>
      <c r="C102" s="4" t="s">
        <v>17</v>
      </c>
      <c r="D102" s="5" t="n">
        <v>129.9</v>
      </c>
      <c r="E102" s="6" t="n">
        <v>235620</v>
      </c>
      <c r="F102" s="6" t="n">
        <v>18849</v>
      </c>
      <c r="G102" s="6" t="n">
        <v>14137</v>
      </c>
      <c r="H102" s="7" t="n">
        <v>30607038</v>
      </c>
      <c r="I102" s="6" t="n">
        <v>0</v>
      </c>
      <c r="J102" s="6" t="n">
        <v>1.1</v>
      </c>
      <c r="K102" s="6" t="n">
        <v>114.31</v>
      </c>
      <c r="L102" s="4"/>
    </row>
    <row r="103" customFormat="false" ht="15" hidden="false" customHeight="false" outlineLevel="0" collapsed="false">
      <c r="A103" s="8" t="s">
        <v>24</v>
      </c>
      <c r="B103" s="8" t="n">
        <v>2024</v>
      </c>
      <c r="C103" s="8" t="s">
        <v>18</v>
      </c>
      <c r="D103" s="5" t="n">
        <v>49.9</v>
      </c>
      <c r="E103" s="6" t="n">
        <v>76296</v>
      </c>
      <c r="F103" s="6" t="n">
        <v>6103</v>
      </c>
      <c r="G103" s="6" t="n">
        <v>4577</v>
      </c>
      <c r="H103" s="9" t="n">
        <v>3807170.4</v>
      </c>
      <c r="I103" s="6" t="n">
        <v>0</v>
      </c>
      <c r="J103" s="6" t="n">
        <v>1.1</v>
      </c>
      <c r="K103" s="6" t="n">
        <v>43.91</v>
      </c>
      <c r="L103" s="8"/>
    </row>
    <row r="104" customFormat="false" ht="15" hidden="false" customHeight="false" outlineLevel="0" collapsed="false">
      <c r="A104" s="4" t="s">
        <v>24</v>
      </c>
      <c r="B104" s="4" t="n">
        <v>2024</v>
      </c>
      <c r="C104" s="4" t="s">
        <v>19</v>
      </c>
      <c r="D104" s="5" t="n">
        <v>39.9</v>
      </c>
      <c r="E104" s="6" t="n">
        <v>61710</v>
      </c>
      <c r="F104" s="6" t="n">
        <v>4936</v>
      </c>
      <c r="G104" s="6" t="n">
        <v>3702</v>
      </c>
      <c r="H104" s="7" t="n">
        <v>2462229</v>
      </c>
      <c r="I104" s="6" t="n">
        <v>0</v>
      </c>
      <c r="J104" s="6" t="n">
        <v>1.1</v>
      </c>
      <c r="K104" s="6" t="n">
        <v>35.11</v>
      </c>
      <c r="L104" s="4"/>
    </row>
    <row r="105" customFormat="false" ht="15" hidden="false" customHeight="false" outlineLevel="0" collapsed="false">
      <c r="A105" s="8" t="s">
        <v>24</v>
      </c>
      <c r="B105" s="8" t="n">
        <v>2024</v>
      </c>
      <c r="C105" s="8" t="s">
        <v>20</v>
      </c>
      <c r="D105" s="5" t="n">
        <v>179.9</v>
      </c>
      <c r="E105" s="6" t="n">
        <v>106590</v>
      </c>
      <c r="F105" s="6" t="n">
        <v>8527</v>
      </c>
      <c r="G105" s="6" t="n">
        <v>6395</v>
      </c>
      <c r="H105" s="9" t="n">
        <v>19175541</v>
      </c>
      <c r="I105" s="6" t="n">
        <v>0</v>
      </c>
      <c r="J105" s="6" t="n">
        <v>1.1</v>
      </c>
      <c r="K105" s="6" t="n">
        <v>158.31</v>
      </c>
      <c r="L105" s="8"/>
    </row>
    <row r="106" customFormat="false" ht="15" hidden="false" customHeight="false" outlineLevel="0" collapsed="false">
      <c r="A106" s="4" t="s">
        <v>25</v>
      </c>
      <c r="B106" s="4" t="n">
        <v>2024</v>
      </c>
      <c r="C106" s="4" t="s">
        <v>15</v>
      </c>
      <c r="D106" s="5" t="n">
        <v>89.9</v>
      </c>
      <c r="E106" s="6" t="n">
        <v>91035</v>
      </c>
      <c r="F106" s="6" t="n">
        <v>7282</v>
      </c>
      <c r="G106" s="6" t="n">
        <v>5462</v>
      </c>
      <c r="H106" s="7" t="n">
        <v>8184046.5</v>
      </c>
      <c r="I106" s="6" t="n">
        <v>1</v>
      </c>
      <c r="J106" s="6" t="n">
        <v>1.05</v>
      </c>
      <c r="K106" s="6" t="n">
        <v>79.11</v>
      </c>
      <c r="L106" s="4"/>
    </row>
    <row r="107" customFormat="false" ht="15" hidden="false" customHeight="false" outlineLevel="0" collapsed="false">
      <c r="A107" s="8" t="s">
        <v>25</v>
      </c>
      <c r="B107" s="8" t="n">
        <v>2024</v>
      </c>
      <c r="C107" s="8" t="s">
        <v>16</v>
      </c>
      <c r="D107" s="5" t="n">
        <v>64.9</v>
      </c>
      <c r="E107" s="6" t="n">
        <v>44982</v>
      </c>
      <c r="F107" s="6" t="n">
        <v>3598</v>
      </c>
      <c r="G107" s="6" t="n">
        <v>2698</v>
      </c>
      <c r="H107" s="9" t="n">
        <v>2919331.8</v>
      </c>
      <c r="I107" s="6" t="n">
        <v>1</v>
      </c>
      <c r="J107" s="6" t="n">
        <v>1.05</v>
      </c>
      <c r="K107" s="6" t="n">
        <v>57.11</v>
      </c>
      <c r="L107" s="8"/>
    </row>
    <row r="108" customFormat="false" ht="15" hidden="false" customHeight="false" outlineLevel="0" collapsed="false">
      <c r="A108" s="4" t="s">
        <v>25</v>
      </c>
      <c r="B108" s="4" t="n">
        <v>2024</v>
      </c>
      <c r="C108" s="4" t="s">
        <v>17</v>
      </c>
      <c r="D108" s="5" t="n">
        <v>129.9</v>
      </c>
      <c r="E108" s="6" t="n">
        <v>224910</v>
      </c>
      <c r="F108" s="6" t="n">
        <v>17992</v>
      </c>
      <c r="G108" s="6" t="n">
        <v>13494</v>
      </c>
      <c r="H108" s="7" t="n">
        <v>29215809</v>
      </c>
      <c r="I108" s="6" t="n">
        <v>1</v>
      </c>
      <c r="J108" s="6" t="n">
        <v>1.05</v>
      </c>
      <c r="K108" s="6" t="n">
        <v>114.31</v>
      </c>
      <c r="L108" s="4"/>
    </row>
    <row r="109" customFormat="false" ht="15" hidden="false" customHeight="false" outlineLevel="0" collapsed="false">
      <c r="A109" s="8" t="s">
        <v>25</v>
      </c>
      <c r="B109" s="8" t="n">
        <v>2024</v>
      </c>
      <c r="C109" s="8" t="s">
        <v>18</v>
      </c>
      <c r="D109" s="5" t="n">
        <v>49.9</v>
      </c>
      <c r="E109" s="6" t="n">
        <v>72828</v>
      </c>
      <c r="F109" s="6" t="n">
        <v>5826</v>
      </c>
      <c r="G109" s="6" t="n">
        <v>4369</v>
      </c>
      <c r="H109" s="9" t="n">
        <v>3634117.2</v>
      </c>
      <c r="I109" s="6" t="n">
        <v>1</v>
      </c>
      <c r="J109" s="6" t="n">
        <v>1.05</v>
      </c>
      <c r="K109" s="6" t="n">
        <v>43.91</v>
      </c>
      <c r="L109" s="8"/>
    </row>
    <row r="110" customFormat="false" ht="15" hidden="false" customHeight="false" outlineLevel="0" collapsed="false">
      <c r="A110" s="4" t="s">
        <v>25</v>
      </c>
      <c r="B110" s="4" t="n">
        <v>2024</v>
      </c>
      <c r="C110" s="4" t="s">
        <v>19</v>
      </c>
      <c r="D110" s="5" t="n">
        <v>39.9</v>
      </c>
      <c r="E110" s="6" t="n">
        <v>58905</v>
      </c>
      <c r="F110" s="6" t="n">
        <v>4712</v>
      </c>
      <c r="G110" s="6" t="n">
        <v>3534</v>
      </c>
      <c r="H110" s="7" t="n">
        <v>2350309.5</v>
      </c>
      <c r="I110" s="6" t="n">
        <v>1</v>
      </c>
      <c r="J110" s="6" t="n">
        <v>1.05</v>
      </c>
      <c r="K110" s="6" t="n">
        <v>35.11</v>
      </c>
      <c r="L110" s="4"/>
    </row>
    <row r="111" customFormat="false" ht="15" hidden="false" customHeight="false" outlineLevel="0" collapsed="false">
      <c r="A111" s="8" t="s">
        <v>25</v>
      </c>
      <c r="B111" s="8" t="n">
        <v>2024</v>
      </c>
      <c r="C111" s="8" t="s">
        <v>20</v>
      </c>
      <c r="D111" s="5" t="n">
        <v>179.9</v>
      </c>
      <c r="E111" s="6" t="n">
        <v>101745</v>
      </c>
      <c r="F111" s="6" t="n">
        <v>8139</v>
      </c>
      <c r="G111" s="6" t="n">
        <v>6104</v>
      </c>
      <c r="H111" s="9" t="n">
        <v>18303925.5</v>
      </c>
      <c r="I111" s="6" t="n">
        <v>1</v>
      </c>
      <c r="J111" s="6" t="n">
        <v>1.05</v>
      </c>
      <c r="K111" s="6" t="n">
        <v>158.31</v>
      </c>
      <c r="L111" s="8"/>
    </row>
    <row r="112" customFormat="false" ht="15" hidden="false" customHeight="false" outlineLevel="0" collapsed="false">
      <c r="A112" s="4" t="s">
        <v>26</v>
      </c>
      <c r="B112" s="4" t="n">
        <v>2024</v>
      </c>
      <c r="C112" s="4" t="s">
        <v>15</v>
      </c>
      <c r="D112" s="5" t="n">
        <v>97.09</v>
      </c>
      <c r="E112" s="6" t="n">
        <v>84966</v>
      </c>
      <c r="F112" s="6" t="n">
        <v>6797</v>
      </c>
      <c r="G112" s="6" t="n">
        <v>5097</v>
      </c>
      <c r="H112" s="7" t="n">
        <v>8249348.94</v>
      </c>
      <c r="I112" s="6" t="n">
        <v>0</v>
      </c>
      <c r="J112" s="6" t="n">
        <v>0.98</v>
      </c>
      <c r="K112" s="6" t="n">
        <v>85.44</v>
      </c>
      <c r="L112" s="4"/>
    </row>
    <row r="113" customFormat="false" ht="15" hidden="false" customHeight="false" outlineLevel="0" collapsed="false">
      <c r="A113" s="8" t="s">
        <v>26</v>
      </c>
      <c r="B113" s="8" t="n">
        <v>2024</v>
      </c>
      <c r="C113" s="8" t="s">
        <v>16</v>
      </c>
      <c r="D113" s="5" t="n">
        <v>70.09</v>
      </c>
      <c r="E113" s="6" t="n">
        <v>41983</v>
      </c>
      <c r="F113" s="6" t="n">
        <v>3358</v>
      </c>
      <c r="G113" s="6" t="n">
        <v>2518</v>
      </c>
      <c r="H113" s="9" t="n">
        <v>2942588.47</v>
      </c>
      <c r="I113" s="6" t="n">
        <v>0</v>
      </c>
      <c r="J113" s="6" t="n">
        <v>0.98</v>
      </c>
      <c r="K113" s="6" t="n">
        <v>61.68</v>
      </c>
      <c r="L113" s="8"/>
    </row>
    <row r="114" customFormat="false" ht="15" hidden="false" customHeight="false" outlineLevel="0" collapsed="false">
      <c r="A114" s="4" t="s">
        <v>26</v>
      </c>
      <c r="B114" s="4" t="n">
        <v>2024</v>
      </c>
      <c r="C114" s="4" t="s">
        <v>17</v>
      </c>
      <c r="D114" s="5" t="n">
        <v>140.29</v>
      </c>
      <c r="E114" s="6" t="n">
        <v>209916</v>
      </c>
      <c r="F114" s="6" t="n">
        <v>16793</v>
      </c>
      <c r="G114" s="6" t="n">
        <v>12594</v>
      </c>
      <c r="H114" s="7" t="n">
        <v>29449115.64</v>
      </c>
      <c r="I114" s="6" t="n">
        <v>0</v>
      </c>
      <c r="J114" s="6" t="n">
        <v>0.98</v>
      </c>
      <c r="K114" s="6" t="n">
        <v>123.46</v>
      </c>
      <c r="L114" s="4"/>
    </row>
    <row r="115" customFormat="false" ht="15" hidden="false" customHeight="false" outlineLevel="0" collapsed="false">
      <c r="A115" s="8" t="s">
        <v>26</v>
      </c>
      <c r="B115" s="8" t="n">
        <v>2024</v>
      </c>
      <c r="C115" s="8" t="s">
        <v>18</v>
      </c>
      <c r="D115" s="5" t="n">
        <v>53.89</v>
      </c>
      <c r="E115" s="6" t="n">
        <v>67972</v>
      </c>
      <c r="F115" s="6" t="n">
        <v>5437</v>
      </c>
      <c r="G115" s="6" t="n">
        <v>4078</v>
      </c>
      <c r="H115" s="9" t="n">
        <v>3663011.08</v>
      </c>
      <c r="I115" s="6" t="n">
        <v>0</v>
      </c>
      <c r="J115" s="6" t="n">
        <v>0.98</v>
      </c>
      <c r="K115" s="6" t="n">
        <v>47.42</v>
      </c>
      <c r="L115" s="8"/>
    </row>
    <row r="116" customFormat="false" ht="15" hidden="false" customHeight="false" outlineLevel="0" collapsed="false">
      <c r="A116" s="4" t="s">
        <v>26</v>
      </c>
      <c r="B116" s="4" t="n">
        <v>2024</v>
      </c>
      <c r="C116" s="4" t="s">
        <v>19</v>
      </c>
      <c r="D116" s="5" t="n">
        <v>43.09</v>
      </c>
      <c r="E116" s="6" t="n">
        <v>54978</v>
      </c>
      <c r="F116" s="6" t="n">
        <v>4398</v>
      </c>
      <c r="G116" s="6" t="n">
        <v>3298</v>
      </c>
      <c r="H116" s="7" t="n">
        <v>2369002.02</v>
      </c>
      <c r="I116" s="6" t="n">
        <v>0</v>
      </c>
      <c r="J116" s="6" t="n">
        <v>0.98</v>
      </c>
      <c r="K116" s="6" t="n">
        <v>37.92</v>
      </c>
      <c r="L116" s="4"/>
    </row>
    <row r="117" customFormat="false" ht="15" hidden="false" customHeight="false" outlineLevel="0" collapsed="false">
      <c r="A117" s="8" t="s">
        <v>26</v>
      </c>
      <c r="B117" s="8" t="n">
        <v>2024</v>
      </c>
      <c r="C117" s="8" t="s">
        <v>20</v>
      </c>
      <c r="D117" s="5" t="n">
        <v>194.29</v>
      </c>
      <c r="E117" s="6" t="n">
        <v>94962</v>
      </c>
      <c r="F117" s="6" t="n">
        <v>7596</v>
      </c>
      <c r="G117" s="6" t="n">
        <v>5697</v>
      </c>
      <c r="H117" s="9" t="n">
        <v>18450166.98</v>
      </c>
      <c r="I117" s="6" t="n">
        <v>0</v>
      </c>
      <c r="J117" s="6" t="n">
        <v>0.98</v>
      </c>
      <c r="K117" s="6" t="n">
        <v>170.98</v>
      </c>
      <c r="L117" s="8"/>
    </row>
    <row r="118" customFormat="false" ht="15" hidden="false" customHeight="false" outlineLevel="0" collapsed="false">
      <c r="A118" s="4" t="s">
        <v>27</v>
      </c>
      <c r="B118" s="4" t="n">
        <v>2024</v>
      </c>
      <c r="C118" s="4" t="s">
        <v>15</v>
      </c>
      <c r="D118" s="5" t="n">
        <v>97.09</v>
      </c>
      <c r="E118" s="6" t="n">
        <v>88434</v>
      </c>
      <c r="F118" s="6" t="n">
        <v>7074</v>
      </c>
      <c r="G118" s="6" t="n">
        <v>5306</v>
      </c>
      <c r="H118" s="7" t="n">
        <v>8586057.06</v>
      </c>
      <c r="I118" s="6" t="n">
        <v>0</v>
      </c>
      <c r="J118" s="6" t="n">
        <v>1.02</v>
      </c>
      <c r="K118" s="6" t="n">
        <v>85.44</v>
      </c>
      <c r="L118" s="4"/>
    </row>
    <row r="119" customFormat="false" ht="15" hidden="false" customHeight="false" outlineLevel="0" collapsed="false">
      <c r="A119" s="8" t="s">
        <v>27</v>
      </c>
      <c r="B119" s="8" t="n">
        <v>2024</v>
      </c>
      <c r="C119" s="8" t="s">
        <v>16</v>
      </c>
      <c r="D119" s="5" t="n">
        <v>70.09</v>
      </c>
      <c r="E119" s="6" t="n">
        <v>43696</v>
      </c>
      <c r="F119" s="6" t="n">
        <v>3495</v>
      </c>
      <c r="G119" s="6" t="n">
        <v>2621</v>
      </c>
      <c r="H119" s="9" t="n">
        <v>3062652.64</v>
      </c>
      <c r="I119" s="6" t="n">
        <v>0</v>
      </c>
      <c r="J119" s="6" t="n">
        <v>1.02</v>
      </c>
      <c r="K119" s="6" t="n">
        <v>61.68</v>
      </c>
      <c r="L119" s="8"/>
    </row>
    <row r="120" customFormat="false" ht="15" hidden="false" customHeight="false" outlineLevel="0" collapsed="false">
      <c r="A120" s="4" t="s">
        <v>27</v>
      </c>
      <c r="B120" s="4" t="n">
        <v>2024</v>
      </c>
      <c r="C120" s="4" t="s">
        <v>17</v>
      </c>
      <c r="D120" s="5" t="n">
        <v>140.29</v>
      </c>
      <c r="E120" s="6" t="n">
        <v>218484</v>
      </c>
      <c r="F120" s="6" t="n">
        <v>17478</v>
      </c>
      <c r="G120" s="6" t="n">
        <v>13109</v>
      </c>
      <c r="H120" s="7" t="n">
        <v>30651120.36</v>
      </c>
      <c r="I120" s="6" t="n">
        <v>0</v>
      </c>
      <c r="J120" s="6" t="n">
        <v>1.02</v>
      </c>
      <c r="K120" s="6" t="n">
        <v>123.46</v>
      </c>
      <c r="L120" s="4"/>
    </row>
    <row r="121" customFormat="false" ht="15" hidden="false" customHeight="false" outlineLevel="0" collapsed="false">
      <c r="A121" s="8" t="s">
        <v>27</v>
      </c>
      <c r="B121" s="8" t="n">
        <v>2024</v>
      </c>
      <c r="C121" s="8" t="s">
        <v>18</v>
      </c>
      <c r="D121" s="5" t="n">
        <v>53.89</v>
      </c>
      <c r="E121" s="6" t="n">
        <v>70747</v>
      </c>
      <c r="F121" s="6" t="n">
        <v>5659</v>
      </c>
      <c r="G121" s="6" t="n">
        <v>4244</v>
      </c>
      <c r="H121" s="9" t="n">
        <v>3812555.83</v>
      </c>
      <c r="I121" s="6" t="n">
        <v>0</v>
      </c>
      <c r="J121" s="6" t="n">
        <v>1.02</v>
      </c>
      <c r="K121" s="6" t="n">
        <v>47.42</v>
      </c>
      <c r="L121" s="8"/>
    </row>
    <row r="122" customFormat="false" ht="15" hidden="false" customHeight="false" outlineLevel="0" collapsed="false">
      <c r="A122" s="4" t="s">
        <v>27</v>
      </c>
      <c r="B122" s="4" t="n">
        <v>2024</v>
      </c>
      <c r="C122" s="4" t="s">
        <v>19</v>
      </c>
      <c r="D122" s="5" t="n">
        <v>43.09</v>
      </c>
      <c r="E122" s="6" t="n">
        <v>57222</v>
      </c>
      <c r="F122" s="6" t="n">
        <v>4577</v>
      </c>
      <c r="G122" s="6" t="n">
        <v>3433</v>
      </c>
      <c r="H122" s="7" t="n">
        <v>2465695.98</v>
      </c>
      <c r="I122" s="6" t="n">
        <v>0</v>
      </c>
      <c r="J122" s="6" t="n">
        <v>1.02</v>
      </c>
      <c r="K122" s="6" t="n">
        <v>37.92</v>
      </c>
      <c r="L122" s="4"/>
    </row>
    <row r="123" customFormat="false" ht="15" hidden="false" customHeight="false" outlineLevel="0" collapsed="false">
      <c r="A123" s="8" t="s">
        <v>27</v>
      </c>
      <c r="B123" s="8" t="n">
        <v>2024</v>
      </c>
      <c r="C123" s="8" t="s">
        <v>20</v>
      </c>
      <c r="D123" s="5" t="n">
        <v>194.29</v>
      </c>
      <c r="E123" s="6" t="n">
        <v>98838</v>
      </c>
      <c r="F123" s="6" t="n">
        <v>7907</v>
      </c>
      <c r="G123" s="6" t="n">
        <v>5930</v>
      </c>
      <c r="H123" s="9" t="n">
        <v>19203235.02</v>
      </c>
      <c r="I123" s="6" t="n">
        <v>0</v>
      </c>
      <c r="J123" s="6" t="n">
        <v>1.02</v>
      </c>
      <c r="K123" s="6" t="n">
        <v>170.98</v>
      </c>
      <c r="L123" s="8"/>
    </row>
    <row r="124" customFormat="false" ht="15" hidden="false" customHeight="false" outlineLevel="0" collapsed="false">
      <c r="A124" s="4" t="s">
        <v>28</v>
      </c>
      <c r="B124" s="4" t="n">
        <v>2024</v>
      </c>
      <c r="C124" s="4" t="s">
        <v>15</v>
      </c>
      <c r="D124" s="5" t="n">
        <v>97.09</v>
      </c>
      <c r="E124" s="6" t="n">
        <v>93636</v>
      </c>
      <c r="F124" s="6" t="n">
        <v>7490</v>
      </c>
      <c r="G124" s="6" t="n">
        <v>5618</v>
      </c>
      <c r="H124" s="7" t="n">
        <v>9091119.24</v>
      </c>
      <c r="I124" s="6" t="n">
        <v>0</v>
      </c>
      <c r="J124" s="6" t="n">
        <v>1.08</v>
      </c>
      <c r="K124" s="6" t="n">
        <v>85.44</v>
      </c>
      <c r="L124" s="4"/>
    </row>
    <row r="125" customFormat="false" ht="15" hidden="false" customHeight="false" outlineLevel="0" collapsed="false">
      <c r="A125" s="8" t="s">
        <v>28</v>
      </c>
      <c r="B125" s="8" t="n">
        <v>2024</v>
      </c>
      <c r="C125" s="8" t="s">
        <v>16</v>
      </c>
      <c r="D125" s="5" t="n">
        <v>70.09</v>
      </c>
      <c r="E125" s="6" t="n">
        <v>46267</v>
      </c>
      <c r="F125" s="6" t="n">
        <v>3701</v>
      </c>
      <c r="G125" s="6" t="n">
        <v>2776</v>
      </c>
      <c r="H125" s="9" t="n">
        <v>3242854.03</v>
      </c>
      <c r="I125" s="6" t="n">
        <v>0</v>
      </c>
      <c r="J125" s="6" t="n">
        <v>1.08</v>
      </c>
      <c r="K125" s="6" t="n">
        <v>61.68</v>
      </c>
      <c r="L125" s="8"/>
    </row>
    <row r="126" customFormat="false" ht="15" hidden="false" customHeight="false" outlineLevel="0" collapsed="false">
      <c r="A126" s="4" t="s">
        <v>28</v>
      </c>
      <c r="B126" s="4" t="n">
        <v>2024</v>
      </c>
      <c r="C126" s="4" t="s">
        <v>17</v>
      </c>
      <c r="D126" s="5" t="n">
        <v>140.29</v>
      </c>
      <c r="E126" s="6" t="n">
        <v>231336</v>
      </c>
      <c r="F126" s="6" t="n">
        <v>18506</v>
      </c>
      <c r="G126" s="6" t="n">
        <v>13880</v>
      </c>
      <c r="H126" s="7" t="n">
        <v>32454127.44</v>
      </c>
      <c r="I126" s="6" t="n">
        <v>0</v>
      </c>
      <c r="J126" s="6" t="n">
        <v>1.08</v>
      </c>
      <c r="K126" s="6" t="n">
        <v>123.46</v>
      </c>
      <c r="L126" s="4"/>
    </row>
    <row r="127" customFormat="false" ht="15" hidden="false" customHeight="false" outlineLevel="0" collapsed="false">
      <c r="A127" s="8" t="s">
        <v>28</v>
      </c>
      <c r="B127" s="8" t="n">
        <v>2024</v>
      </c>
      <c r="C127" s="8" t="s">
        <v>18</v>
      </c>
      <c r="D127" s="5" t="n">
        <v>53.89</v>
      </c>
      <c r="E127" s="6" t="n">
        <v>74908</v>
      </c>
      <c r="F127" s="6" t="n">
        <v>5992</v>
      </c>
      <c r="G127" s="6" t="n">
        <v>4494</v>
      </c>
      <c r="H127" s="9" t="n">
        <v>4036792.12</v>
      </c>
      <c r="I127" s="6" t="n">
        <v>0</v>
      </c>
      <c r="J127" s="6" t="n">
        <v>1.08</v>
      </c>
      <c r="K127" s="6" t="n">
        <v>47.42</v>
      </c>
      <c r="L127" s="8"/>
    </row>
    <row r="128" customFormat="false" ht="15" hidden="false" customHeight="false" outlineLevel="0" collapsed="false">
      <c r="A128" s="4" t="s">
        <v>28</v>
      </c>
      <c r="B128" s="4" t="n">
        <v>2024</v>
      </c>
      <c r="C128" s="4" t="s">
        <v>19</v>
      </c>
      <c r="D128" s="5" t="n">
        <v>43.09</v>
      </c>
      <c r="E128" s="6" t="n">
        <v>60588</v>
      </c>
      <c r="F128" s="6" t="n">
        <v>4847</v>
      </c>
      <c r="G128" s="6" t="n">
        <v>3635</v>
      </c>
      <c r="H128" s="7" t="n">
        <v>2610736.92</v>
      </c>
      <c r="I128" s="6" t="n">
        <v>0</v>
      </c>
      <c r="J128" s="6" t="n">
        <v>1.08</v>
      </c>
      <c r="K128" s="6" t="n">
        <v>37.92</v>
      </c>
      <c r="L128" s="4"/>
    </row>
    <row r="129" customFormat="false" ht="15" hidden="false" customHeight="false" outlineLevel="0" collapsed="false">
      <c r="A129" s="8" t="s">
        <v>28</v>
      </c>
      <c r="B129" s="8" t="n">
        <v>2024</v>
      </c>
      <c r="C129" s="8" t="s">
        <v>20</v>
      </c>
      <c r="D129" s="5" t="n">
        <v>194.29</v>
      </c>
      <c r="E129" s="6" t="n">
        <v>104652</v>
      </c>
      <c r="F129" s="6" t="n">
        <v>8372</v>
      </c>
      <c r="G129" s="6" t="n">
        <v>6279</v>
      </c>
      <c r="H129" s="9" t="n">
        <v>20332837.08</v>
      </c>
      <c r="I129" s="6" t="n">
        <v>0</v>
      </c>
      <c r="J129" s="6" t="n">
        <v>1.08</v>
      </c>
      <c r="K129" s="6" t="n">
        <v>170.98</v>
      </c>
      <c r="L129" s="8"/>
    </row>
    <row r="130" customFormat="false" ht="15" hidden="false" customHeight="false" outlineLevel="0" collapsed="false">
      <c r="A130" s="4" t="s">
        <v>29</v>
      </c>
      <c r="B130" s="4" t="n">
        <v>2024</v>
      </c>
      <c r="C130" s="4" t="s">
        <v>15</v>
      </c>
      <c r="D130" s="5" t="n">
        <v>97.09</v>
      </c>
      <c r="E130" s="6" t="n">
        <v>97104</v>
      </c>
      <c r="F130" s="6" t="n">
        <v>7768</v>
      </c>
      <c r="G130" s="6" t="n">
        <v>5826</v>
      </c>
      <c r="H130" s="7" t="n">
        <v>9427827.36</v>
      </c>
      <c r="I130" s="6" t="n">
        <v>0</v>
      </c>
      <c r="J130" s="6" t="n">
        <v>1.12</v>
      </c>
      <c r="K130" s="6" t="n">
        <v>85.44</v>
      </c>
      <c r="L130" s="4"/>
    </row>
    <row r="131" customFormat="false" ht="15" hidden="false" customHeight="false" outlineLevel="0" collapsed="false">
      <c r="A131" s="8" t="s">
        <v>29</v>
      </c>
      <c r="B131" s="8" t="n">
        <v>2024</v>
      </c>
      <c r="C131" s="8" t="s">
        <v>16</v>
      </c>
      <c r="D131" s="5" t="n">
        <v>70.09</v>
      </c>
      <c r="E131" s="6" t="n">
        <v>47980</v>
      </c>
      <c r="F131" s="6" t="n">
        <v>3838</v>
      </c>
      <c r="G131" s="6" t="n">
        <v>2878</v>
      </c>
      <c r="H131" s="9" t="n">
        <v>3362918.2</v>
      </c>
      <c r="I131" s="6" t="n">
        <v>0</v>
      </c>
      <c r="J131" s="6" t="n">
        <v>1.12</v>
      </c>
      <c r="K131" s="6" t="n">
        <v>61.68</v>
      </c>
      <c r="L131" s="8"/>
    </row>
    <row r="132" customFormat="false" ht="15" hidden="false" customHeight="false" outlineLevel="0" collapsed="false">
      <c r="A132" s="4" t="s">
        <v>29</v>
      </c>
      <c r="B132" s="4" t="n">
        <v>2024</v>
      </c>
      <c r="C132" s="4" t="s">
        <v>17</v>
      </c>
      <c r="D132" s="5" t="n">
        <v>140.29</v>
      </c>
      <c r="E132" s="6" t="n">
        <v>239904</v>
      </c>
      <c r="F132" s="6" t="n">
        <v>19192</v>
      </c>
      <c r="G132" s="6" t="n">
        <v>14394</v>
      </c>
      <c r="H132" s="7" t="n">
        <v>33656132.16</v>
      </c>
      <c r="I132" s="6" t="n">
        <v>0</v>
      </c>
      <c r="J132" s="6" t="n">
        <v>1.12</v>
      </c>
      <c r="K132" s="6" t="n">
        <v>123.46</v>
      </c>
      <c r="L132" s="4"/>
    </row>
    <row r="133" customFormat="false" ht="15" hidden="false" customHeight="false" outlineLevel="0" collapsed="false">
      <c r="A133" s="8" t="s">
        <v>29</v>
      </c>
      <c r="B133" s="8" t="n">
        <v>2024</v>
      </c>
      <c r="C133" s="8" t="s">
        <v>18</v>
      </c>
      <c r="D133" s="5" t="n">
        <v>53.89</v>
      </c>
      <c r="E133" s="6" t="n">
        <v>77683</v>
      </c>
      <c r="F133" s="6" t="n">
        <v>6214</v>
      </c>
      <c r="G133" s="6" t="n">
        <v>4660</v>
      </c>
      <c r="H133" s="9" t="n">
        <v>4186336.87</v>
      </c>
      <c r="I133" s="6" t="n">
        <v>0</v>
      </c>
      <c r="J133" s="6" t="n">
        <v>1.12</v>
      </c>
      <c r="K133" s="6" t="n">
        <v>47.42</v>
      </c>
      <c r="L133" s="8"/>
    </row>
    <row r="134" customFormat="false" ht="15" hidden="false" customHeight="false" outlineLevel="0" collapsed="false">
      <c r="A134" s="4" t="s">
        <v>29</v>
      </c>
      <c r="B134" s="4" t="n">
        <v>2024</v>
      </c>
      <c r="C134" s="4" t="s">
        <v>19</v>
      </c>
      <c r="D134" s="5" t="n">
        <v>43.09</v>
      </c>
      <c r="E134" s="6" t="n">
        <v>62832</v>
      </c>
      <c r="F134" s="6" t="n">
        <v>5026</v>
      </c>
      <c r="G134" s="6" t="n">
        <v>3769</v>
      </c>
      <c r="H134" s="7" t="n">
        <v>2707430.88</v>
      </c>
      <c r="I134" s="6" t="n">
        <v>0</v>
      </c>
      <c r="J134" s="6" t="n">
        <v>1.12</v>
      </c>
      <c r="K134" s="6" t="n">
        <v>37.92</v>
      </c>
      <c r="L134" s="4"/>
    </row>
    <row r="135" customFormat="false" ht="15" hidden="false" customHeight="false" outlineLevel="0" collapsed="false">
      <c r="A135" s="8" t="s">
        <v>29</v>
      </c>
      <c r="B135" s="8" t="n">
        <v>2024</v>
      </c>
      <c r="C135" s="8" t="s">
        <v>20</v>
      </c>
      <c r="D135" s="5" t="n">
        <v>194.29</v>
      </c>
      <c r="E135" s="6" t="n">
        <v>108528</v>
      </c>
      <c r="F135" s="6" t="n">
        <v>8682</v>
      </c>
      <c r="G135" s="6" t="n">
        <v>6511</v>
      </c>
      <c r="H135" s="9" t="n">
        <v>21085905.12</v>
      </c>
      <c r="I135" s="6" t="n">
        <v>0</v>
      </c>
      <c r="J135" s="6" t="n">
        <v>1.12</v>
      </c>
      <c r="K135" s="6" t="n">
        <v>170.98</v>
      </c>
      <c r="L135" s="8"/>
    </row>
    <row r="136" customFormat="false" ht="15" hidden="false" customHeight="false" outlineLevel="0" collapsed="false">
      <c r="A136" s="4" t="s">
        <v>30</v>
      </c>
      <c r="B136" s="4" t="n">
        <v>2024</v>
      </c>
      <c r="C136" s="4" t="s">
        <v>15</v>
      </c>
      <c r="D136" s="5" t="n">
        <v>97.09</v>
      </c>
      <c r="E136" s="6" t="n">
        <v>117045</v>
      </c>
      <c r="F136" s="6" t="n">
        <v>9363</v>
      </c>
      <c r="G136" s="6" t="n">
        <v>7022</v>
      </c>
      <c r="H136" s="7" t="n">
        <v>11363899.05</v>
      </c>
      <c r="I136" s="6" t="n">
        <v>0</v>
      </c>
      <c r="J136" s="6" t="n">
        <v>1.35</v>
      </c>
      <c r="K136" s="6" t="n">
        <v>85.44</v>
      </c>
      <c r="L136" s="4"/>
    </row>
    <row r="137" customFormat="false" ht="15" hidden="false" customHeight="false" outlineLevel="0" collapsed="false">
      <c r="A137" s="8" t="s">
        <v>30</v>
      </c>
      <c r="B137" s="8" t="n">
        <v>2024</v>
      </c>
      <c r="C137" s="8" t="s">
        <v>16</v>
      </c>
      <c r="D137" s="5" t="n">
        <v>70.09</v>
      </c>
      <c r="E137" s="6" t="n">
        <v>57834</v>
      </c>
      <c r="F137" s="6" t="n">
        <v>4626</v>
      </c>
      <c r="G137" s="6" t="n">
        <v>3470</v>
      </c>
      <c r="H137" s="9" t="n">
        <v>4053585.06</v>
      </c>
      <c r="I137" s="6" t="n">
        <v>0</v>
      </c>
      <c r="J137" s="6" t="n">
        <v>1.35</v>
      </c>
      <c r="K137" s="6" t="n">
        <v>61.68</v>
      </c>
      <c r="L137" s="8"/>
    </row>
    <row r="138" customFormat="false" ht="15" hidden="false" customHeight="false" outlineLevel="0" collapsed="false">
      <c r="A138" s="4" t="s">
        <v>30</v>
      </c>
      <c r="B138" s="4" t="n">
        <v>2024</v>
      </c>
      <c r="C138" s="4" t="s">
        <v>17</v>
      </c>
      <c r="D138" s="5" t="n">
        <v>140.29</v>
      </c>
      <c r="E138" s="6" t="n">
        <v>289170</v>
      </c>
      <c r="F138" s="6" t="n">
        <v>23133</v>
      </c>
      <c r="G138" s="6" t="n">
        <v>17350</v>
      </c>
      <c r="H138" s="7" t="n">
        <v>40567659.3</v>
      </c>
      <c r="I138" s="6" t="n">
        <v>0</v>
      </c>
      <c r="J138" s="6" t="n">
        <v>1.35</v>
      </c>
      <c r="K138" s="6" t="n">
        <v>123.46</v>
      </c>
      <c r="L138" s="4"/>
    </row>
    <row r="139" customFormat="false" ht="15" hidden="false" customHeight="false" outlineLevel="0" collapsed="false">
      <c r="A139" s="8" t="s">
        <v>30</v>
      </c>
      <c r="B139" s="8" t="n">
        <v>2024</v>
      </c>
      <c r="C139" s="8" t="s">
        <v>18</v>
      </c>
      <c r="D139" s="5" t="n">
        <v>53.89</v>
      </c>
      <c r="E139" s="6" t="n">
        <v>93636</v>
      </c>
      <c r="F139" s="6" t="n">
        <v>7490</v>
      </c>
      <c r="G139" s="6" t="n">
        <v>5618</v>
      </c>
      <c r="H139" s="9" t="n">
        <v>5046044.04</v>
      </c>
      <c r="I139" s="6" t="n">
        <v>0</v>
      </c>
      <c r="J139" s="6" t="n">
        <v>1.35</v>
      </c>
      <c r="K139" s="6" t="n">
        <v>47.42</v>
      </c>
      <c r="L139" s="8"/>
    </row>
    <row r="140" customFormat="false" ht="15" hidden="false" customHeight="false" outlineLevel="0" collapsed="false">
      <c r="A140" s="4" t="s">
        <v>30</v>
      </c>
      <c r="B140" s="4" t="n">
        <v>2024</v>
      </c>
      <c r="C140" s="4" t="s">
        <v>19</v>
      </c>
      <c r="D140" s="5" t="n">
        <v>43.09</v>
      </c>
      <c r="E140" s="6" t="n">
        <v>75735</v>
      </c>
      <c r="F140" s="6" t="n">
        <v>6058</v>
      </c>
      <c r="G140" s="6" t="n">
        <v>4544</v>
      </c>
      <c r="H140" s="7" t="n">
        <v>3263421.15</v>
      </c>
      <c r="I140" s="6" t="n">
        <v>0</v>
      </c>
      <c r="J140" s="6" t="n">
        <v>1.35</v>
      </c>
      <c r="K140" s="6" t="n">
        <v>37.92</v>
      </c>
      <c r="L140" s="4"/>
    </row>
    <row r="141" customFormat="false" ht="15" hidden="false" customHeight="false" outlineLevel="0" collapsed="false">
      <c r="A141" s="8" t="s">
        <v>30</v>
      </c>
      <c r="B141" s="8" t="n">
        <v>2024</v>
      </c>
      <c r="C141" s="8" t="s">
        <v>20</v>
      </c>
      <c r="D141" s="5" t="n">
        <v>194.29</v>
      </c>
      <c r="E141" s="6" t="n">
        <v>130815</v>
      </c>
      <c r="F141" s="6" t="n">
        <v>10465</v>
      </c>
      <c r="G141" s="6" t="n">
        <v>7848</v>
      </c>
      <c r="H141" s="9" t="n">
        <v>25416046.35</v>
      </c>
      <c r="I141" s="6" t="n">
        <v>0</v>
      </c>
      <c r="J141" s="6" t="n">
        <v>1.35</v>
      </c>
      <c r="K141" s="6" t="n">
        <v>170.98</v>
      </c>
      <c r="L141" s="8"/>
    </row>
    <row r="142" customFormat="false" ht="15" hidden="false" customHeight="false" outlineLevel="0" collapsed="false">
      <c r="A142" s="4" t="s">
        <v>31</v>
      </c>
      <c r="B142" s="4" t="n">
        <v>2024</v>
      </c>
      <c r="C142" s="4" t="s">
        <v>15</v>
      </c>
      <c r="D142" s="5" t="n">
        <v>97.09</v>
      </c>
      <c r="E142" s="6" t="n">
        <v>108375</v>
      </c>
      <c r="F142" s="6" t="n">
        <v>8670</v>
      </c>
      <c r="G142" s="6" t="n">
        <v>6502</v>
      </c>
      <c r="H142" s="7" t="n">
        <v>10522128.75</v>
      </c>
      <c r="I142" s="6" t="n">
        <v>1</v>
      </c>
      <c r="J142" s="6" t="n">
        <v>1.25</v>
      </c>
      <c r="K142" s="6" t="n">
        <v>85.44</v>
      </c>
      <c r="L142" s="4"/>
    </row>
    <row r="143" customFormat="false" ht="15" hidden="false" customHeight="false" outlineLevel="0" collapsed="false">
      <c r="A143" s="8" t="s">
        <v>31</v>
      </c>
      <c r="B143" s="8" t="n">
        <v>2024</v>
      </c>
      <c r="C143" s="8" t="s">
        <v>16</v>
      </c>
      <c r="D143" s="5" t="n">
        <v>70.09</v>
      </c>
      <c r="E143" s="6" t="n">
        <v>53550</v>
      </c>
      <c r="F143" s="6" t="n">
        <v>4284</v>
      </c>
      <c r="G143" s="6" t="n">
        <v>3213</v>
      </c>
      <c r="H143" s="9" t="n">
        <v>3753319.5</v>
      </c>
      <c r="I143" s="6" t="n">
        <v>1</v>
      </c>
      <c r="J143" s="6" t="n">
        <v>1.25</v>
      </c>
      <c r="K143" s="6" t="n">
        <v>61.68</v>
      </c>
      <c r="L143" s="8"/>
    </row>
    <row r="144" customFormat="false" ht="15" hidden="false" customHeight="false" outlineLevel="0" collapsed="false">
      <c r="A144" s="4" t="s">
        <v>31</v>
      </c>
      <c r="B144" s="4" t="n">
        <v>2024</v>
      </c>
      <c r="C144" s="4" t="s">
        <v>17</v>
      </c>
      <c r="D144" s="5" t="n">
        <v>140.29</v>
      </c>
      <c r="E144" s="6" t="n">
        <v>267750</v>
      </c>
      <c r="F144" s="6" t="n">
        <v>21420</v>
      </c>
      <c r="G144" s="6" t="n">
        <v>16065</v>
      </c>
      <c r="H144" s="7" t="n">
        <v>37562647.5</v>
      </c>
      <c r="I144" s="6" t="n">
        <v>1</v>
      </c>
      <c r="J144" s="6" t="n">
        <v>1.25</v>
      </c>
      <c r="K144" s="6" t="n">
        <v>123.46</v>
      </c>
      <c r="L144" s="4"/>
    </row>
    <row r="145" customFormat="false" ht="15" hidden="false" customHeight="false" outlineLevel="0" collapsed="false">
      <c r="A145" s="8" t="s">
        <v>31</v>
      </c>
      <c r="B145" s="8" t="n">
        <v>2024</v>
      </c>
      <c r="C145" s="8" t="s">
        <v>18</v>
      </c>
      <c r="D145" s="5" t="n">
        <v>53.89</v>
      </c>
      <c r="E145" s="6" t="n">
        <v>86700</v>
      </c>
      <c r="F145" s="6" t="n">
        <v>6936</v>
      </c>
      <c r="G145" s="6" t="n">
        <v>5202</v>
      </c>
      <c r="H145" s="9" t="n">
        <v>4672263</v>
      </c>
      <c r="I145" s="6" t="n">
        <v>1</v>
      </c>
      <c r="J145" s="6" t="n">
        <v>1.25</v>
      </c>
      <c r="K145" s="6" t="n">
        <v>47.42</v>
      </c>
      <c r="L145" s="8"/>
    </row>
    <row r="146" customFormat="false" ht="15" hidden="false" customHeight="false" outlineLevel="0" collapsed="false">
      <c r="A146" s="4" t="s">
        <v>31</v>
      </c>
      <c r="B146" s="4" t="n">
        <v>2024</v>
      </c>
      <c r="C146" s="4" t="s">
        <v>19</v>
      </c>
      <c r="D146" s="5" t="n">
        <v>43.09</v>
      </c>
      <c r="E146" s="6" t="n">
        <v>70125</v>
      </c>
      <c r="F146" s="6" t="n">
        <v>5610</v>
      </c>
      <c r="G146" s="6" t="n">
        <v>4207</v>
      </c>
      <c r="H146" s="7" t="n">
        <v>3021686.25</v>
      </c>
      <c r="I146" s="6" t="n">
        <v>1</v>
      </c>
      <c r="J146" s="6" t="n">
        <v>1.25</v>
      </c>
      <c r="K146" s="6" t="n">
        <v>37.92</v>
      </c>
      <c r="L146" s="4"/>
    </row>
    <row r="147" customFormat="false" ht="15" hidden="false" customHeight="false" outlineLevel="0" collapsed="false">
      <c r="A147" s="8" t="s">
        <v>31</v>
      </c>
      <c r="B147" s="8" t="n">
        <v>2024</v>
      </c>
      <c r="C147" s="8" t="s">
        <v>20</v>
      </c>
      <c r="D147" s="5" t="n">
        <v>194.29</v>
      </c>
      <c r="E147" s="6" t="n">
        <v>121125</v>
      </c>
      <c r="F147" s="6" t="n">
        <v>9690</v>
      </c>
      <c r="G147" s="6" t="n">
        <v>7267</v>
      </c>
      <c r="H147" s="9" t="n">
        <v>23533376.25</v>
      </c>
      <c r="I147" s="6" t="n">
        <v>1</v>
      </c>
      <c r="J147" s="6" t="n">
        <v>1.25</v>
      </c>
      <c r="K147" s="6" t="n">
        <v>170.98</v>
      </c>
      <c r="L147" s="8"/>
    </row>
    <row r="149" customFormat="false" ht="15" hidden="false" customHeight="false" outlineLevel="0" collapsed="false">
      <c r="A149" s="10" t="s">
        <v>32</v>
      </c>
    </row>
    <row r="150" customFormat="false" ht="15" hidden="false" customHeight="false" outlineLevel="0" collapsed="false">
      <c r="A150" s="11" t="s">
        <v>33</v>
      </c>
      <c r="B150" s="11"/>
      <c r="C150" s="11"/>
      <c r="D150" s="11"/>
    </row>
  </sheetData>
  <mergeCells count="3">
    <mergeCell ref="A1:L1"/>
    <mergeCell ref="A2:L2"/>
    <mergeCell ref="A150:D1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8" min="6" style="0" width="10"/>
    <col collapsed="false" customWidth="true" hidden="false" outlineLevel="0" max="9" min="9" style="0" width="18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4" min="13" style="0" width="16"/>
  </cols>
  <sheetData>
    <row r="1" customFormat="false" ht="30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A4" s="12" t="s">
        <v>36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15" hidden="false" customHeight="false" outlineLevel="0" collapsed="false">
      <c r="A5" s="10" t="s">
        <v>37</v>
      </c>
      <c r="B5" s="13" t="s">
        <v>38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customFormat="false" ht="15" hidden="false" customHeight="false" outlineLevel="0" collapsed="false">
      <c r="A6" s="10" t="s">
        <v>39</v>
      </c>
      <c r="B6" s="13" t="s">
        <v>40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customFormat="false" ht="15" hidden="false" customHeight="false" outlineLevel="0" collapsed="false">
      <c r="A7" s="10" t="s">
        <v>41</v>
      </c>
      <c r="B7" s="13" t="s">
        <v>42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customFormat="false" ht="15" hidden="false" customHeight="false" outlineLevel="0" collapsed="false">
      <c r="A8" s="10" t="s">
        <v>43</v>
      </c>
      <c r="B8" s="13" t="s">
        <v>44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10" customFormat="false" ht="21.75" hidden="false" customHeight="true" outlineLevel="0" collapsed="false">
      <c r="A10" s="12" t="s">
        <v>45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customFormat="false" ht="39.75" hidden="false" customHeight="true" outlineLevel="0" collapsed="false">
      <c r="A11" s="14" t="s">
        <v>4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  <c r="K11" s="14" t="s">
        <v>55</v>
      </c>
      <c r="L11" s="14" t="s">
        <v>56</v>
      </c>
      <c r="M11" s="14" t="s">
        <v>57</v>
      </c>
      <c r="N11" s="14" t="s">
        <v>58</v>
      </c>
    </row>
    <row r="12" customFormat="false" ht="15" hidden="false" customHeight="false" outlineLevel="0" collapsed="false">
      <c r="A12" s="4" t="s">
        <v>15</v>
      </c>
      <c r="B12" s="5" t="n">
        <v>89.9</v>
      </c>
      <c r="C12" s="15" t="n">
        <v>95000</v>
      </c>
      <c r="D12" s="16" t="n">
        <v>-0.45</v>
      </c>
      <c r="E12" s="16" t="n">
        <v>0.08</v>
      </c>
      <c r="F12" s="16" t="n">
        <v>-5.63</v>
      </c>
      <c r="G12" s="17" t="n">
        <v>0.001</v>
      </c>
      <c r="H12" s="16" t="n">
        <v>0.87</v>
      </c>
      <c r="I12" s="18" t="s">
        <v>59</v>
      </c>
      <c r="J12" s="5" t="n">
        <v>70</v>
      </c>
      <c r="K12" s="5" t="n">
        <v>130</v>
      </c>
      <c r="L12" s="19" t="n">
        <f aca="false">K12*0.75</f>
        <v>97.5</v>
      </c>
      <c r="M12" s="20" t="n">
        <f aca="false">B12*C12/1000000</f>
        <v>8.5405</v>
      </c>
      <c r="N12" s="21" t="n">
        <f aca="false">L12*C12*(L12/B12)^D12/1000000</f>
        <v>8.93034023320345</v>
      </c>
    </row>
    <row r="13" customFormat="false" ht="15" hidden="false" customHeight="false" outlineLevel="0" collapsed="false">
      <c r="A13" s="8" t="s">
        <v>16</v>
      </c>
      <c r="B13" s="5" t="n">
        <v>64.9</v>
      </c>
      <c r="C13" s="15" t="n">
        <v>42000</v>
      </c>
      <c r="D13" s="16" t="n">
        <v>-0.62</v>
      </c>
      <c r="E13" s="16" t="n">
        <v>0.11</v>
      </c>
      <c r="F13" s="16" t="n">
        <v>-5.64</v>
      </c>
      <c r="G13" s="17" t="n">
        <v>0.001</v>
      </c>
      <c r="H13" s="16" t="n">
        <v>0.81</v>
      </c>
      <c r="I13" s="18" t="s">
        <v>59</v>
      </c>
      <c r="J13" s="5" t="n">
        <v>50</v>
      </c>
      <c r="K13" s="5" t="n">
        <v>95</v>
      </c>
      <c r="L13" s="19" t="n">
        <f aca="false">K13*0.75</f>
        <v>71.25</v>
      </c>
      <c r="M13" s="22" t="n">
        <f aca="false">B13*C13/1000000</f>
        <v>2.7258</v>
      </c>
      <c r="N13" s="21" t="n">
        <f aca="false">L13*C13*(L13/B13)^D13/1000000</f>
        <v>2.82422473621698</v>
      </c>
    </row>
    <row r="14" customFormat="false" ht="15" hidden="false" customHeight="false" outlineLevel="0" collapsed="false">
      <c r="A14" s="4" t="s">
        <v>17</v>
      </c>
      <c r="B14" s="5" t="n">
        <v>129.9</v>
      </c>
      <c r="C14" s="15" t="n">
        <v>210000</v>
      </c>
      <c r="D14" s="16" t="n">
        <v>-0.78</v>
      </c>
      <c r="E14" s="16" t="n">
        <v>0.09</v>
      </c>
      <c r="F14" s="16" t="n">
        <v>-8.67</v>
      </c>
      <c r="G14" s="17" t="n">
        <v>0</v>
      </c>
      <c r="H14" s="16" t="n">
        <v>0.92</v>
      </c>
      <c r="I14" s="18" t="s">
        <v>59</v>
      </c>
      <c r="J14" s="5" t="n">
        <v>90</v>
      </c>
      <c r="K14" s="5" t="n">
        <v>170</v>
      </c>
      <c r="L14" s="19" t="n">
        <f aca="false">K14*0.75</f>
        <v>127.5</v>
      </c>
      <c r="M14" s="20" t="n">
        <f aca="false">B14*C14/1000000</f>
        <v>27.279</v>
      </c>
      <c r="N14" s="21" t="n">
        <f aca="false">L14*C14*(L14/B14)^D14/1000000</f>
        <v>27.167312177047</v>
      </c>
    </row>
    <row r="15" customFormat="false" ht="15" hidden="false" customHeight="false" outlineLevel="0" collapsed="false">
      <c r="A15" s="8" t="s">
        <v>18</v>
      </c>
      <c r="B15" s="5" t="n">
        <v>49.9</v>
      </c>
      <c r="C15" s="15" t="n">
        <v>68000</v>
      </c>
      <c r="D15" s="16" t="n">
        <v>-1.35</v>
      </c>
      <c r="E15" s="16" t="n">
        <v>0.14</v>
      </c>
      <c r="F15" s="16" t="n">
        <v>-9.64</v>
      </c>
      <c r="G15" s="17" t="n">
        <v>0</v>
      </c>
      <c r="H15" s="16" t="n">
        <v>0.89</v>
      </c>
      <c r="I15" s="23" t="s">
        <v>60</v>
      </c>
      <c r="J15" s="5" t="n">
        <v>35</v>
      </c>
      <c r="K15" s="5" t="n">
        <v>80</v>
      </c>
      <c r="L15" s="19" t="n">
        <f aca="false">K15*0.75</f>
        <v>60</v>
      </c>
      <c r="M15" s="22" t="n">
        <f aca="false">B15*C15/1000000</f>
        <v>3.3932</v>
      </c>
      <c r="N15" s="21" t="n">
        <f aca="false">L15*C15*(L15/B15)^D15/1000000</f>
        <v>3.18120540498421</v>
      </c>
    </row>
    <row r="16" customFormat="false" ht="15" hidden="false" customHeight="false" outlineLevel="0" collapsed="false">
      <c r="A16" s="4" t="s">
        <v>19</v>
      </c>
      <c r="B16" s="5" t="n">
        <v>39.9</v>
      </c>
      <c r="C16" s="15" t="n">
        <v>55000</v>
      </c>
      <c r="D16" s="16" t="n">
        <v>-0.85</v>
      </c>
      <c r="E16" s="16" t="n">
        <v>0.12</v>
      </c>
      <c r="F16" s="16" t="n">
        <v>-7.08</v>
      </c>
      <c r="G16" s="17" t="n">
        <v>0</v>
      </c>
      <c r="H16" s="16" t="n">
        <v>0.84</v>
      </c>
      <c r="I16" s="18" t="s">
        <v>59</v>
      </c>
      <c r="J16" s="5" t="n">
        <v>30</v>
      </c>
      <c r="K16" s="5" t="n">
        <v>65</v>
      </c>
      <c r="L16" s="19" t="n">
        <f aca="false">K16*0.75</f>
        <v>48.75</v>
      </c>
      <c r="M16" s="20" t="n">
        <f aca="false">B16*C16/1000000</f>
        <v>2.1945</v>
      </c>
      <c r="N16" s="21" t="n">
        <f aca="false">L16*C16*(L16/B16)^D16/1000000</f>
        <v>2.26144403137771</v>
      </c>
    </row>
    <row r="17" customFormat="false" ht="15" hidden="false" customHeight="false" outlineLevel="0" collapsed="false">
      <c r="A17" s="8" t="s">
        <v>20</v>
      </c>
      <c r="B17" s="5" t="n">
        <v>179.9</v>
      </c>
      <c r="C17" s="15" t="n">
        <v>95000</v>
      </c>
      <c r="D17" s="16" t="n">
        <v>-0.55</v>
      </c>
      <c r="E17" s="16" t="n">
        <v>0.1</v>
      </c>
      <c r="F17" s="16" t="n">
        <v>-5.5</v>
      </c>
      <c r="G17" s="17" t="n">
        <v>0.001</v>
      </c>
      <c r="H17" s="16" t="n">
        <v>0.88</v>
      </c>
      <c r="I17" s="18" t="s">
        <v>59</v>
      </c>
      <c r="J17" s="5" t="n">
        <v>140</v>
      </c>
      <c r="K17" s="5" t="n">
        <v>230</v>
      </c>
      <c r="L17" s="19" t="n">
        <f aca="false">K17*0.75</f>
        <v>172.5</v>
      </c>
      <c r="M17" s="22" t="n">
        <f aca="false">B17*C17/1000000</f>
        <v>17.0905</v>
      </c>
      <c r="N17" s="21" t="n">
        <f aca="false">L17*C17*(L17/B17)^D17/1000000</f>
        <v>16.7704933927574</v>
      </c>
    </row>
    <row r="18" customFormat="false" ht="15" hidden="false" customHeight="false" outlineLevel="0" collapsed="false">
      <c r="A18" s="24" t="s">
        <v>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25" t="n">
        <f aca="false">SUM(M12:M17)</f>
        <v>61.2235</v>
      </c>
      <c r="N18" s="25" t="n">
        <f aca="false">SUM(N12:N17)</f>
        <v>61.1350199755867</v>
      </c>
    </row>
    <row r="20" customFormat="false" ht="15" hidden="false" customHeight="false" outlineLevel="0" collapsed="false">
      <c r="A20" s="12" t="s">
        <v>62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customFormat="false" ht="15" hidden="false" customHeight="false" outlineLevel="0" collapsed="false">
      <c r="A21" s="26" t="s">
        <v>63</v>
      </c>
      <c r="B21" s="26" t="s">
        <v>64</v>
      </c>
      <c r="C21" s="26" t="s">
        <v>65</v>
      </c>
    </row>
    <row r="22" customFormat="false" ht="15" hidden="false" customHeight="false" outlineLevel="0" collapsed="false">
      <c r="A22" s="23" t="s">
        <v>66</v>
      </c>
      <c r="B22" s="23" t="s">
        <v>67</v>
      </c>
      <c r="C22" s="27" t="s">
        <v>68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customFormat="false" ht="15" hidden="false" customHeight="false" outlineLevel="0" collapsed="false">
      <c r="A23" s="28" t="s">
        <v>69</v>
      </c>
      <c r="B23" s="28" t="s">
        <v>70</v>
      </c>
      <c r="C23" s="29" t="s">
        <v>71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customFormat="false" ht="15" hidden="false" customHeight="false" outlineLevel="0" collapsed="false">
      <c r="A24" s="18" t="s">
        <v>72</v>
      </c>
      <c r="B24" s="18" t="s">
        <v>73</v>
      </c>
      <c r="C24" s="30" t="s">
        <v>74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</sheetData>
  <mergeCells count="12">
    <mergeCell ref="A1:N1"/>
    <mergeCell ref="A2:N2"/>
    <mergeCell ref="A4:N4"/>
    <mergeCell ref="B5:N5"/>
    <mergeCell ref="B6:N6"/>
    <mergeCell ref="B7:N7"/>
    <mergeCell ref="B8:N8"/>
    <mergeCell ref="A10:N10"/>
    <mergeCell ref="A20:N20"/>
    <mergeCell ref="C22:N22"/>
    <mergeCell ref="C23:N23"/>
    <mergeCell ref="C24:N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10" min="9" style="0" width="14"/>
    <col collapsed="false" customWidth="true" hidden="false" outlineLevel="0" max="12" min="11" style="0" width="12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2" t="s">
        <v>77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1" t="s">
        <v>78</v>
      </c>
      <c r="B5" s="31"/>
      <c r="C5" s="31"/>
      <c r="D5" s="13" t="s">
        <v>79</v>
      </c>
      <c r="E5" s="13"/>
      <c r="F5" s="13"/>
      <c r="G5" s="13"/>
      <c r="H5" s="13"/>
      <c r="I5" s="13"/>
      <c r="J5" s="13"/>
      <c r="K5" s="13"/>
      <c r="L5" s="13"/>
      <c r="M5" s="13"/>
    </row>
    <row r="6" customFormat="false" ht="15" hidden="false" customHeight="false" outlineLevel="0" collapsed="false">
      <c r="A6" s="32" t="s">
        <v>80</v>
      </c>
      <c r="B6" s="32"/>
      <c r="C6" s="32"/>
      <c r="D6" s="13" t="s">
        <v>81</v>
      </c>
      <c r="E6" s="13"/>
      <c r="F6" s="13"/>
      <c r="G6" s="13"/>
      <c r="H6" s="13"/>
      <c r="I6" s="13"/>
      <c r="J6" s="13"/>
      <c r="K6" s="13"/>
      <c r="L6" s="13"/>
      <c r="M6" s="13"/>
    </row>
    <row r="7" customFormat="false" ht="15" hidden="false" customHeight="false" outlineLevel="0" collapsed="false">
      <c r="A7" s="33" t="s">
        <v>82</v>
      </c>
      <c r="B7" s="33"/>
      <c r="C7" s="33"/>
      <c r="D7" s="13" t="s">
        <v>83</v>
      </c>
      <c r="E7" s="13"/>
      <c r="F7" s="13"/>
      <c r="G7" s="13"/>
      <c r="H7" s="13"/>
      <c r="I7" s="13"/>
      <c r="J7" s="13"/>
      <c r="K7" s="13"/>
      <c r="L7" s="13"/>
      <c r="M7" s="13"/>
    </row>
    <row r="8" customFormat="false" ht="15" hidden="false" customHeight="false" outlineLevel="0" collapsed="false">
      <c r="A8" s="33" t="s">
        <v>84</v>
      </c>
      <c r="B8" s="33"/>
      <c r="C8" s="33"/>
      <c r="D8" s="13" t="s">
        <v>85</v>
      </c>
      <c r="E8" s="13"/>
      <c r="F8" s="13"/>
      <c r="G8" s="13"/>
      <c r="H8" s="13"/>
      <c r="I8" s="13"/>
      <c r="J8" s="13"/>
      <c r="K8" s="13"/>
      <c r="L8" s="13"/>
      <c r="M8" s="13"/>
    </row>
    <row r="10" customFormat="false" ht="15" hidden="false" customHeight="false" outlineLevel="0" collapsed="false">
      <c r="A10" s="12" t="s">
        <v>86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45" hidden="false" customHeight="true" outlineLevel="0" collapsed="false">
      <c r="A11" s="14" t="s">
        <v>87</v>
      </c>
      <c r="B11" s="14" t="s">
        <v>88</v>
      </c>
      <c r="C11" s="14" t="s">
        <v>89</v>
      </c>
      <c r="D11" s="14" t="s">
        <v>90</v>
      </c>
      <c r="E11" s="14" t="s">
        <v>91</v>
      </c>
      <c r="F11" s="14" t="s">
        <v>92</v>
      </c>
      <c r="G11" s="14" t="s">
        <v>93</v>
      </c>
      <c r="H11" s="14" t="s">
        <v>94</v>
      </c>
      <c r="I11" s="14" t="s">
        <v>95</v>
      </c>
      <c r="J11" s="14" t="s">
        <v>96</v>
      </c>
      <c r="K11" s="14" t="s">
        <v>46</v>
      </c>
      <c r="L11" s="14" t="s">
        <v>97</v>
      </c>
      <c r="M11" s="14" t="s">
        <v>98</v>
      </c>
    </row>
    <row r="12" customFormat="false" ht="15" hidden="false" customHeight="false" outlineLevel="0" collapsed="false">
      <c r="A12" s="4" t="s">
        <v>15</v>
      </c>
      <c r="B12" s="4" t="n">
        <v>450</v>
      </c>
      <c r="C12" s="5" t="n">
        <v>140</v>
      </c>
      <c r="D12" s="5" t="n">
        <v>110</v>
      </c>
      <c r="E12" s="5" t="n">
        <v>75</v>
      </c>
      <c r="F12" s="5" t="n">
        <v>45</v>
      </c>
      <c r="G12" s="21" t="n">
        <f aca="false">F12</f>
        <v>45</v>
      </c>
      <c r="H12" s="34" t="n">
        <f aca="false">D12</f>
        <v>110</v>
      </c>
      <c r="I12" s="20" t="n">
        <f aca="false">H12-G12</f>
        <v>65</v>
      </c>
      <c r="J12" s="35" t="n">
        <f aca="false">(D12+E12)/2</f>
        <v>92.5</v>
      </c>
      <c r="K12" s="5" t="n">
        <v>89.9</v>
      </c>
      <c r="L12" s="36" t="n">
        <f aca="false">J12-K12</f>
        <v>2.59999999999999</v>
      </c>
      <c r="M12" s="37" t="str">
        <f aca="false">_xlfn.IFS(L12&gt;20,"↑ Aumentar preço",L12&lt;-20,"↓ Reduzir preço",TRUE(),"= Manter preço")</f>
        <v>= Manter preço</v>
      </c>
    </row>
    <row r="13" customFormat="false" ht="15" hidden="false" customHeight="false" outlineLevel="0" collapsed="false">
      <c r="A13" s="8" t="s">
        <v>16</v>
      </c>
      <c r="B13" s="8" t="n">
        <v>280</v>
      </c>
      <c r="C13" s="5" t="n">
        <v>95</v>
      </c>
      <c r="D13" s="5" t="n">
        <v>80</v>
      </c>
      <c r="E13" s="5" t="n">
        <v>55</v>
      </c>
      <c r="F13" s="5" t="n">
        <v>35</v>
      </c>
      <c r="G13" s="21" t="n">
        <f aca="false">F13</f>
        <v>35</v>
      </c>
      <c r="H13" s="34" t="n">
        <f aca="false">D13</f>
        <v>80</v>
      </c>
      <c r="I13" s="22" t="n">
        <f aca="false">H13-G13</f>
        <v>45</v>
      </c>
      <c r="J13" s="35" t="n">
        <f aca="false">(D13+E13)/2</f>
        <v>67.5</v>
      </c>
      <c r="K13" s="5" t="n">
        <v>64.9</v>
      </c>
      <c r="L13" s="38" t="n">
        <f aca="false">J13-K13</f>
        <v>2.59999999999999</v>
      </c>
      <c r="M13" s="39" t="str">
        <f aca="false">_xlfn.IFS(L13&gt;20,"↑ Aumentar preço",L13&lt;-20,"↓ Reduzir preço",TRUE(),"= Manter preço")</f>
        <v>= Manter preço</v>
      </c>
    </row>
    <row r="14" customFormat="false" ht="15" hidden="false" customHeight="false" outlineLevel="0" collapsed="false">
      <c r="A14" s="4" t="s">
        <v>17</v>
      </c>
      <c r="B14" s="4" t="n">
        <v>620</v>
      </c>
      <c r="C14" s="5" t="n">
        <v>190</v>
      </c>
      <c r="D14" s="5" t="n">
        <v>150</v>
      </c>
      <c r="E14" s="5" t="n">
        <v>95</v>
      </c>
      <c r="F14" s="5" t="n">
        <v>60</v>
      </c>
      <c r="G14" s="21" t="n">
        <f aca="false">F14</f>
        <v>60</v>
      </c>
      <c r="H14" s="34" t="n">
        <f aca="false">D14</f>
        <v>150</v>
      </c>
      <c r="I14" s="20" t="n">
        <f aca="false">H14-G14</f>
        <v>90</v>
      </c>
      <c r="J14" s="35" t="n">
        <f aca="false">(D14+E14)/2</f>
        <v>122.5</v>
      </c>
      <c r="K14" s="5" t="n">
        <v>129.9</v>
      </c>
      <c r="L14" s="36" t="n">
        <f aca="false">J14-K14</f>
        <v>-7.40000000000001</v>
      </c>
      <c r="M14" s="37" t="str">
        <f aca="false">_xlfn.IFS(L14&gt;20,"↑ Aumentar preço",L14&lt;-20,"↓ Reduzir preço",TRUE(),"= Manter preço")</f>
        <v>= Manter preço</v>
      </c>
    </row>
    <row r="15" customFormat="false" ht="15" hidden="false" customHeight="false" outlineLevel="0" collapsed="false">
      <c r="A15" s="8" t="s">
        <v>18</v>
      </c>
      <c r="B15" s="8" t="n">
        <v>380</v>
      </c>
      <c r="C15" s="5" t="n">
        <v>85</v>
      </c>
      <c r="D15" s="5" t="n">
        <v>65</v>
      </c>
      <c r="E15" s="5" t="n">
        <v>42</v>
      </c>
      <c r="F15" s="5" t="n">
        <v>25</v>
      </c>
      <c r="G15" s="21" t="n">
        <f aca="false">F15</f>
        <v>25</v>
      </c>
      <c r="H15" s="34" t="n">
        <f aca="false">D15</f>
        <v>65</v>
      </c>
      <c r="I15" s="22" t="n">
        <f aca="false">H15-G15</f>
        <v>40</v>
      </c>
      <c r="J15" s="35" t="n">
        <f aca="false">(D15+E15)/2</f>
        <v>53.5</v>
      </c>
      <c r="K15" s="5" t="n">
        <v>49.9</v>
      </c>
      <c r="L15" s="38" t="n">
        <f aca="false">J15-K15</f>
        <v>3.6</v>
      </c>
      <c r="M15" s="39" t="str">
        <f aca="false">_xlfn.IFS(L15&gt;20,"↑ Aumentar preço",L15&lt;-20,"↓ Reduzir preço",TRUE(),"= Manter preço")</f>
        <v>= Manter preço</v>
      </c>
    </row>
    <row r="16" customFormat="false" ht="15" hidden="false" customHeight="false" outlineLevel="0" collapsed="false">
      <c r="A16" s="4" t="s">
        <v>19</v>
      </c>
      <c r="B16" s="4" t="n">
        <v>290</v>
      </c>
      <c r="C16" s="5" t="n">
        <v>70</v>
      </c>
      <c r="D16" s="5" t="n">
        <v>55</v>
      </c>
      <c r="E16" s="5" t="n">
        <v>35</v>
      </c>
      <c r="F16" s="5" t="n">
        <v>20</v>
      </c>
      <c r="G16" s="21" t="n">
        <f aca="false">F16</f>
        <v>20</v>
      </c>
      <c r="H16" s="34" t="n">
        <f aca="false">D16</f>
        <v>55</v>
      </c>
      <c r="I16" s="20" t="n">
        <f aca="false">H16-G16</f>
        <v>35</v>
      </c>
      <c r="J16" s="35" t="n">
        <f aca="false">(D16+E16)/2</f>
        <v>45</v>
      </c>
      <c r="K16" s="5" t="n">
        <v>39.9</v>
      </c>
      <c r="L16" s="36" t="n">
        <f aca="false">J16-K16</f>
        <v>5.1</v>
      </c>
      <c r="M16" s="37" t="str">
        <f aca="false">_xlfn.IFS(L16&gt;20,"↑ Aumentar preço",L16&lt;-20,"↓ Reduzir preço",TRUE(),"= Manter preço")</f>
        <v>= Manter preço</v>
      </c>
    </row>
    <row r="17" customFormat="false" ht="15" hidden="false" customHeight="false" outlineLevel="0" collapsed="false">
      <c r="A17" s="8" t="s">
        <v>20</v>
      </c>
      <c r="B17" s="8" t="n">
        <v>510</v>
      </c>
      <c r="C17" s="5" t="n">
        <v>260</v>
      </c>
      <c r="D17" s="5" t="n">
        <v>200</v>
      </c>
      <c r="E17" s="5" t="n">
        <v>140</v>
      </c>
      <c r="F17" s="5" t="n">
        <v>90</v>
      </c>
      <c r="G17" s="21" t="n">
        <f aca="false">F17</f>
        <v>90</v>
      </c>
      <c r="H17" s="34" t="n">
        <f aca="false">D17</f>
        <v>200</v>
      </c>
      <c r="I17" s="22" t="n">
        <f aca="false">H17-G17</f>
        <v>110</v>
      </c>
      <c r="J17" s="35" t="n">
        <f aca="false">(D17+E17)/2</f>
        <v>170</v>
      </c>
      <c r="K17" s="5" t="n">
        <v>179.9</v>
      </c>
      <c r="L17" s="38" t="n">
        <f aca="false">J17-K17</f>
        <v>-9.90000000000001</v>
      </c>
      <c r="M17" s="39" t="str">
        <f aca="false">_xlfn.IFS(L17&gt;20,"↑ Aumentar preço",L17&lt;-20,"↓ Reduzir preço",TRUE(),"= Manter preço")</f>
        <v>= Manter preço</v>
      </c>
    </row>
  </sheetData>
  <mergeCells count="12">
    <mergeCell ref="A1:M1"/>
    <mergeCell ref="A2:M2"/>
    <mergeCell ref="A4:M4"/>
    <mergeCell ref="A5:C5"/>
    <mergeCell ref="D5:M5"/>
    <mergeCell ref="A6:C6"/>
    <mergeCell ref="D6:M6"/>
    <mergeCell ref="A7:C7"/>
    <mergeCell ref="D7:M7"/>
    <mergeCell ref="A8:C8"/>
    <mergeCell ref="D8:M8"/>
    <mergeCell ref="A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  <col collapsed="false" customWidth="true" hidden="false" outlineLevel="0" max="6" min="6" style="0" width="12"/>
    <col collapsed="false" customWidth="true" hidden="false" outlineLevel="0" max="10" min="7" style="0" width="1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12" t="s">
        <v>101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customFormat="false" ht="39.75" hidden="false" customHeight="true" outlineLevel="0" collapsed="false">
      <c r="A5" s="14" t="s">
        <v>102</v>
      </c>
      <c r="B5" s="14" t="s">
        <v>15</v>
      </c>
      <c r="C5" s="14" t="s">
        <v>103</v>
      </c>
      <c r="D5" s="14" t="s">
        <v>17</v>
      </c>
      <c r="E5" s="14" t="s">
        <v>104</v>
      </c>
      <c r="F5" s="14" t="s">
        <v>19</v>
      </c>
      <c r="G5" s="14" t="s">
        <v>105</v>
      </c>
      <c r="H5" s="14" t="s">
        <v>106</v>
      </c>
      <c r="I5" s="14" t="s">
        <v>107</v>
      </c>
      <c r="J5" s="14" t="s">
        <v>108</v>
      </c>
      <c r="K5" s="14" t="s">
        <v>109</v>
      </c>
    </row>
    <row r="6" customFormat="false" ht="15" hidden="false" customHeight="false" outlineLevel="0" collapsed="false">
      <c r="A6" s="37" t="s">
        <v>110</v>
      </c>
      <c r="B6" s="40" t="s">
        <v>111</v>
      </c>
      <c r="C6" s="40" t="s">
        <v>111</v>
      </c>
      <c r="D6" s="40" t="s">
        <v>111</v>
      </c>
      <c r="E6" s="18" t="s">
        <v>112</v>
      </c>
      <c r="F6" s="18" t="s">
        <v>112</v>
      </c>
      <c r="G6" s="40" t="s">
        <v>111</v>
      </c>
      <c r="H6" s="4" t="n">
        <v>1</v>
      </c>
      <c r="I6" s="4" t="s">
        <v>113</v>
      </c>
      <c r="J6" s="41" t="n">
        <v>49.9</v>
      </c>
      <c r="K6" s="41" t="n">
        <v>49.9</v>
      </c>
    </row>
    <row r="7" customFormat="false" ht="15" hidden="false" customHeight="false" outlineLevel="0" collapsed="false">
      <c r="A7" s="39" t="s">
        <v>114</v>
      </c>
      <c r="B7" s="18" t="s">
        <v>112</v>
      </c>
      <c r="C7" s="40" t="s">
        <v>111</v>
      </c>
      <c r="D7" s="18" t="s">
        <v>112</v>
      </c>
      <c r="E7" s="18" t="s">
        <v>112</v>
      </c>
      <c r="F7" s="18" t="s">
        <v>112</v>
      </c>
      <c r="G7" s="40" t="s">
        <v>111</v>
      </c>
      <c r="H7" s="8" t="n">
        <v>2</v>
      </c>
      <c r="I7" s="8" t="s">
        <v>113</v>
      </c>
      <c r="J7" s="41" t="n">
        <v>99.9</v>
      </c>
      <c r="K7" s="41" t="n">
        <v>99.9</v>
      </c>
    </row>
    <row r="8" customFormat="false" ht="15" hidden="false" customHeight="false" outlineLevel="0" collapsed="false">
      <c r="A8" s="37" t="s">
        <v>115</v>
      </c>
      <c r="B8" s="18" t="s">
        <v>112</v>
      </c>
      <c r="C8" s="18" t="s">
        <v>112</v>
      </c>
      <c r="D8" s="18" t="s">
        <v>112</v>
      </c>
      <c r="E8" s="18" t="s">
        <v>112</v>
      </c>
      <c r="F8" s="18" t="s">
        <v>112</v>
      </c>
      <c r="G8" s="18" t="s">
        <v>112</v>
      </c>
      <c r="H8" s="4" t="n">
        <v>4</v>
      </c>
      <c r="I8" s="4" t="s">
        <v>116</v>
      </c>
      <c r="J8" s="41" t="n">
        <v>179.9</v>
      </c>
      <c r="K8" s="41" t="n">
        <v>179.9</v>
      </c>
    </row>
    <row r="9" customFormat="false" ht="15" hidden="false" customHeight="false" outlineLevel="0" collapsed="false">
      <c r="A9" s="39" t="s">
        <v>117</v>
      </c>
      <c r="B9" s="40" t="s">
        <v>111</v>
      </c>
      <c r="C9" s="40" t="s">
        <v>111</v>
      </c>
      <c r="D9" s="18" t="s">
        <v>112</v>
      </c>
      <c r="E9" s="18" t="s">
        <v>112</v>
      </c>
      <c r="F9" s="18" t="s">
        <v>112</v>
      </c>
      <c r="G9" s="40" t="s">
        <v>111</v>
      </c>
      <c r="H9" s="8" t="n">
        <v>3</v>
      </c>
      <c r="I9" s="8" t="s">
        <v>113</v>
      </c>
      <c r="J9" s="41" t="n">
        <v>84.9</v>
      </c>
      <c r="K9" s="41" t="n">
        <v>84.9</v>
      </c>
    </row>
    <row r="10" customFormat="false" ht="15" hidden="false" customHeight="false" outlineLevel="0" collapsed="false">
      <c r="A10" s="37" t="s">
        <v>118</v>
      </c>
      <c r="B10" s="18" t="s">
        <v>112</v>
      </c>
      <c r="C10" s="18" t="s">
        <v>112</v>
      </c>
      <c r="D10" s="40" t="s">
        <v>111</v>
      </c>
      <c r="E10" s="40" t="s">
        <v>111</v>
      </c>
      <c r="F10" s="40" t="s">
        <v>111</v>
      </c>
      <c r="G10" s="40" t="s">
        <v>111</v>
      </c>
      <c r="H10" s="4" t="n">
        <v>2</v>
      </c>
      <c r="I10" s="4" t="s">
        <v>113</v>
      </c>
      <c r="J10" s="41" t="n">
        <v>89.9</v>
      </c>
      <c r="K10" s="41" t="n">
        <v>89.9</v>
      </c>
    </row>
    <row r="11" customFormat="false" ht="15" hidden="false" customHeight="false" outlineLevel="0" collapsed="false">
      <c r="A11" s="39" t="s">
        <v>119</v>
      </c>
      <c r="B11" s="18" t="s">
        <v>112</v>
      </c>
      <c r="C11" s="40" t="s">
        <v>111</v>
      </c>
      <c r="D11" s="40" t="s">
        <v>111</v>
      </c>
      <c r="E11" s="40" t="s">
        <v>111</v>
      </c>
      <c r="F11" s="40" t="s">
        <v>111</v>
      </c>
      <c r="G11" s="40" t="s">
        <v>111</v>
      </c>
      <c r="H11" s="8" t="n">
        <v>1</v>
      </c>
      <c r="I11" s="8" t="s">
        <v>113</v>
      </c>
      <c r="J11" s="41" t="n">
        <v>39.9</v>
      </c>
      <c r="K11" s="41" t="n">
        <v>39.9</v>
      </c>
    </row>
    <row r="14" customFormat="false" ht="15" hidden="false" customHeight="false" outlineLevel="0" collapsed="false">
      <c r="A14" s="12" t="s">
        <v>120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customFormat="false" ht="39.75" hidden="false" customHeight="true" outlineLevel="0" collapsed="false">
      <c r="A15" s="14" t="s">
        <v>121</v>
      </c>
      <c r="B15" s="14" t="s">
        <v>122</v>
      </c>
      <c r="C15" s="14" t="s">
        <v>123</v>
      </c>
      <c r="D15" s="14" t="s">
        <v>124</v>
      </c>
      <c r="E15" s="14" t="s">
        <v>125</v>
      </c>
      <c r="F15" s="14" t="s">
        <v>126</v>
      </c>
      <c r="G15" s="14" t="s">
        <v>127</v>
      </c>
      <c r="H15" s="14" t="s">
        <v>128</v>
      </c>
      <c r="I15" s="14" t="s">
        <v>129</v>
      </c>
      <c r="J15" s="14" t="s">
        <v>130</v>
      </c>
      <c r="K15" s="14" t="s">
        <v>131</v>
      </c>
    </row>
    <row r="16" customFormat="false" ht="15" hidden="false" customHeight="false" outlineLevel="0" collapsed="false">
      <c r="A16" s="42" t="s">
        <v>110</v>
      </c>
      <c r="B16" s="5" t="n">
        <v>49.9</v>
      </c>
      <c r="C16" s="16" t="n">
        <v>-1.35</v>
      </c>
      <c r="D16" s="15" t="n">
        <v>68000</v>
      </c>
      <c r="E16" s="43" t="n">
        <f aca="false">B16*0.85</f>
        <v>42.415</v>
      </c>
      <c r="F16" s="44" t="n">
        <f aca="false">D16*(0.85^C16)</f>
        <v>84682.4399819305</v>
      </c>
      <c r="G16" s="45" t="n">
        <f aca="false">E16*F16/1000000</f>
        <v>3.59180569183358</v>
      </c>
      <c r="H16" s="46" t="n">
        <f aca="false">B16</f>
        <v>49.9</v>
      </c>
      <c r="I16" s="19" t="n">
        <f aca="false">B16*D16/1000000</f>
        <v>3.3932</v>
      </c>
      <c r="J16" s="43" t="n">
        <f aca="false">B16*1.15</f>
        <v>57.385</v>
      </c>
      <c r="K16" s="44" t="n">
        <f aca="false">D16*(1.15^C16)</f>
        <v>56307.5755521167</v>
      </c>
    </row>
    <row r="17" customFormat="false" ht="15" hidden="false" customHeight="false" outlineLevel="0" collapsed="false">
      <c r="A17" s="47" t="s">
        <v>114</v>
      </c>
      <c r="B17" s="5" t="n">
        <v>99.9</v>
      </c>
      <c r="C17" s="16" t="n">
        <v>-0.65</v>
      </c>
      <c r="D17" s="15" t="n">
        <v>180000</v>
      </c>
      <c r="E17" s="48" t="n">
        <f aca="false">B17*0.85</f>
        <v>84.915</v>
      </c>
      <c r="F17" s="49" t="n">
        <f aca="false">D17*(0.85^C17)</f>
        <v>200055.365365041</v>
      </c>
      <c r="G17" s="45" t="n">
        <f aca="false">E17*F17/1000000</f>
        <v>16.9877013499724</v>
      </c>
      <c r="H17" s="46" t="n">
        <f aca="false">B17</f>
        <v>99.9</v>
      </c>
      <c r="I17" s="19" t="n">
        <f aca="false">B17*D17/1000000</f>
        <v>17.982</v>
      </c>
      <c r="J17" s="48" t="n">
        <f aca="false">B17*1.15</f>
        <v>114.885</v>
      </c>
      <c r="K17" s="49" t="n">
        <f aca="false">D17*(1.15^C17)</f>
        <v>164368.6199763</v>
      </c>
    </row>
    <row r="18" customFormat="false" ht="15" hidden="false" customHeight="false" outlineLevel="0" collapsed="false">
      <c r="A18" s="42" t="s">
        <v>115</v>
      </c>
      <c r="B18" s="5" t="n">
        <v>179.9</v>
      </c>
      <c r="C18" s="16" t="n">
        <v>-0.55</v>
      </c>
      <c r="D18" s="15" t="n">
        <v>95000</v>
      </c>
      <c r="E18" s="43" t="n">
        <f aca="false">B18*0.85</f>
        <v>152.915</v>
      </c>
      <c r="F18" s="44" t="n">
        <f aca="false">D18*(0.85^C18)</f>
        <v>103882.692192058</v>
      </c>
      <c r="G18" s="45" t="n">
        <f aca="false">E18*F18/1000000</f>
        <v>15.8852218765485</v>
      </c>
      <c r="H18" s="46" t="n">
        <f aca="false">B18</f>
        <v>179.9</v>
      </c>
      <c r="I18" s="19" t="n">
        <f aca="false">B18*D18/1000000</f>
        <v>17.0905</v>
      </c>
      <c r="J18" s="43" t="n">
        <f aca="false">B18*1.15</f>
        <v>206.885</v>
      </c>
      <c r="K18" s="44" t="n">
        <f aca="false">D18*(1.15^C18)</f>
        <v>87971.0535376343</v>
      </c>
    </row>
    <row r="19" customFormat="false" ht="15" hidden="false" customHeight="false" outlineLevel="0" collapsed="false">
      <c r="A19" s="47" t="s">
        <v>117</v>
      </c>
      <c r="B19" s="5" t="n">
        <v>84.9</v>
      </c>
      <c r="C19" s="16" t="n">
        <v>-0.8</v>
      </c>
      <c r="D19" s="15" t="n">
        <v>120000</v>
      </c>
      <c r="E19" s="48" t="n">
        <f aca="false">B19*0.85</f>
        <v>72.165</v>
      </c>
      <c r="F19" s="49" t="n">
        <f aca="false">D19*(0.85^C19)</f>
        <v>136661.475529762</v>
      </c>
      <c r="G19" s="45" t="n">
        <f aca="false">E19*F19/1000000</f>
        <v>9.86217538160528</v>
      </c>
      <c r="H19" s="46" t="n">
        <f aca="false">B19</f>
        <v>84.9</v>
      </c>
      <c r="I19" s="19" t="n">
        <f aca="false">B19*D19/1000000</f>
        <v>10.188</v>
      </c>
      <c r="J19" s="48" t="n">
        <f aca="false">B19*1.15</f>
        <v>97.635</v>
      </c>
      <c r="K19" s="49" t="n">
        <f aca="false">D19*(1.15^C19)</f>
        <v>107305.744914805</v>
      </c>
    </row>
    <row r="20" customFormat="false" ht="15" hidden="false" customHeight="false" outlineLevel="0" collapsed="false">
      <c r="A20" s="42" t="s">
        <v>118</v>
      </c>
      <c r="B20" s="5" t="n">
        <v>89.9</v>
      </c>
      <c r="C20" s="16" t="n">
        <v>-0.5</v>
      </c>
      <c r="D20" s="15" t="n">
        <v>75000</v>
      </c>
      <c r="E20" s="43" t="n">
        <f aca="false">B20*0.85</f>
        <v>76.415</v>
      </c>
      <c r="F20" s="44" t="n">
        <f aca="false">D20*(0.85^C20)</f>
        <v>81348.9216819961</v>
      </c>
      <c r="G20" s="45" t="n">
        <f aca="false">E20*F20/1000000</f>
        <v>6.21627785032973</v>
      </c>
      <c r="H20" s="46" t="n">
        <f aca="false">B20</f>
        <v>89.9</v>
      </c>
      <c r="I20" s="19" t="n">
        <f aca="false">B20*D20/1000000</f>
        <v>6.7425</v>
      </c>
      <c r="J20" s="43" t="n">
        <f aca="false">B20*1.15</f>
        <v>103.385</v>
      </c>
      <c r="K20" s="44" t="n">
        <f aca="false">D20*(1.15^C20)</f>
        <v>69937.8606180235</v>
      </c>
    </row>
    <row r="21" customFormat="false" ht="15" hidden="false" customHeight="false" outlineLevel="0" collapsed="false">
      <c r="A21" s="47" t="s">
        <v>119</v>
      </c>
      <c r="B21" s="5" t="n">
        <v>39.9</v>
      </c>
      <c r="C21" s="16" t="n">
        <v>-0.45</v>
      </c>
      <c r="D21" s="15" t="n">
        <v>42000</v>
      </c>
      <c r="E21" s="48" t="n">
        <f aca="false">B21*0.85</f>
        <v>33.915</v>
      </c>
      <c r="F21" s="49" t="n">
        <f aca="false">D21*(0.85^C21)</f>
        <v>45186.7153999086</v>
      </c>
      <c r="G21" s="45" t="n">
        <f aca="false">E21*F21/1000000</f>
        <v>1.5325074527879</v>
      </c>
      <c r="H21" s="46" t="n">
        <f aca="false">B21</f>
        <v>39.9</v>
      </c>
      <c r="I21" s="19" t="n">
        <f aca="false">B21*D21/1000000</f>
        <v>1.6758</v>
      </c>
      <c r="J21" s="48" t="n">
        <f aca="false">B21*1.15</f>
        <v>45.885</v>
      </c>
      <c r="K21" s="49" t="n">
        <f aca="false">D21*(1.15^C21)</f>
        <v>39439.8506993782</v>
      </c>
    </row>
    <row r="22" customFormat="false" ht="15" hidden="false" customHeight="false" outlineLevel="0" collapsed="false">
      <c r="A22" s="24" t="s">
        <v>132</v>
      </c>
      <c r="B22" s="3"/>
      <c r="C22" s="3"/>
      <c r="D22" s="3"/>
      <c r="E22" s="3"/>
      <c r="F22" s="3"/>
      <c r="G22" s="25" t="n">
        <f aca="false">SUM(G16:G21)</f>
        <v>54.0756896030774</v>
      </c>
      <c r="H22" s="3"/>
      <c r="I22" s="25" t="n">
        <f aca="false">SUM(I16:I21)</f>
        <v>57.072</v>
      </c>
      <c r="J22" s="3"/>
      <c r="K22" s="3"/>
    </row>
  </sheetData>
  <mergeCells count="4">
    <mergeCell ref="A1:K1"/>
    <mergeCell ref="A2:K2"/>
    <mergeCell ref="A4:K4"/>
    <mergeCell ref="A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8" min="6" style="0" width="14"/>
    <col collapsed="false" customWidth="true" hidden="false" outlineLevel="0" max="10" min="9" style="0" width="16"/>
  </cols>
  <sheetData>
    <row r="1" customFormat="false" ht="30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50" t="s">
        <v>134</v>
      </c>
      <c r="B2" s="50"/>
      <c r="C2" s="50"/>
      <c r="D2" s="50"/>
      <c r="E2" s="50"/>
      <c r="F2" s="50"/>
      <c r="G2" s="50"/>
      <c r="H2" s="50"/>
      <c r="I2" s="50"/>
      <c r="J2" s="50"/>
    </row>
    <row r="4" customFormat="false" ht="15" hidden="false" customHeight="false" outlineLevel="0" collapsed="false">
      <c r="A4" s="12" t="s">
        <v>135</v>
      </c>
      <c r="B4" s="12"/>
      <c r="C4" s="12"/>
      <c r="D4" s="12"/>
      <c r="E4" s="12"/>
      <c r="F4" s="12"/>
      <c r="G4" s="12"/>
      <c r="H4" s="12"/>
      <c r="I4" s="12"/>
      <c r="J4" s="12"/>
    </row>
    <row r="5" customFormat="false" ht="49.5" hidden="false" customHeight="true" outlineLevel="0" collapsed="false">
      <c r="A5" s="14" t="s">
        <v>4</v>
      </c>
      <c r="B5" s="14" t="s">
        <v>46</v>
      </c>
      <c r="C5" s="14" t="s">
        <v>47</v>
      </c>
      <c r="D5" s="14" t="s">
        <v>136</v>
      </c>
      <c r="E5" s="14" t="s">
        <v>137</v>
      </c>
      <c r="F5" s="14" t="s">
        <v>138</v>
      </c>
      <c r="G5" s="14" t="s">
        <v>139</v>
      </c>
      <c r="H5" s="14" t="s">
        <v>140</v>
      </c>
      <c r="I5" s="14" t="s">
        <v>141</v>
      </c>
      <c r="J5" s="14" t="s">
        <v>142</v>
      </c>
    </row>
    <row r="6" customFormat="false" ht="15" hidden="false" customHeight="false" outlineLevel="0" collapsed="false">
      <c r="A6" s="51" t="s">
        <v>15</v>
      </c>
      <c r="B6" s="20" t="n">
        <v>89.9</v>
      </c>
      <c r="C6" s="52" t="n">
        <v>95000</v>
      </c>
      <c r="D6" s="53" t="n">
        <v>-0.45</v>
      </c>
      <c r="E6" s="54" t="n">
        <v>94.9</v>
      </c>
      <c r="F6" s="55" t="n">
        <f aca="false">(E6-B6)/B6</f>
        <v>0.0556173526140156</v>
      </c>
      <c r="G6" s="55" t="n">
        <f aca="false">D6*F6</f>
        <v>-0.025027808676307</v>
      </c>
      <c r="H6" s="56" t="n">
        <f aca="false">ROUND(C6*(1+G6),0)</f>
        <v>92622</v>
      </c>
      <c r="I6" s="57" t="n">
        <f aca="false">B6*C6</f>
        <v>8540500</v>
      </c>
      <c r="J6" s="58" t="n">
        <f aca="false">E6*H6</f>
        <v>8789827.8</v>
      </c>
    </row>
    <row r="7" customFormat="false" ht="15" hidden="false" customHeight="false" outlineLevel="0" collapsed="false">
      <c r="A7" s="59" t="s">
        <v>16</v>
      </c>
      <c r="B7" s="22" t="n">
        <v>64.9</v>
      </c>
      <c r="C7" s="60" t="n">
        <v>42000</v>
      </c>
      <c r="D7" s="61" t="n">
        <v>-0.62</v>
      </c>
      <c r="E7" s="54" t="n">
        <v>69.9</v>
      </c>
      <c r="F7" s="62" t="n">
        <f aca="false">(E7-B7)/B7</f>
        <v>0.0770416024653313</v>
      </c>
      <c r="G7" s="62" t="n">
        <f aca="false">D7*F7</f>
        <v>-0.0477657935285054</v>
      </c>
      <c r="H7" s="56" t="n">
        <f aca="false">ROUND(C7*(1+G7),0)</f>
        <v>39994</v>
      </c>
      <c r="I7" s="63" t="n">
        <f aca="false">B7*C7</f>
        <v>2725800</v>
      </c>
      <c r="J7" s="58" t="n">
        <f aca="false">E7*H7</f>
        <v>2795580.6</v>
      </c>
    </row>
    <row r="8" customFormat="false" ht="15" hidden="false" customHeight="false" outlineLevel="0" collapsed="false">
      <c r="A8" s="51" t="s">
        <v>17</v>
      </c>
      <c r="B8" s="20" t="n">
        <v>129.9</v>
      </c>
      <c r="C8" s="52" t="n">
        <v>210000</v>
      </c>
      <c r="D8" s="53" t="n">
        <v>-0.78</v>
      </c>
      <c r="E8" s="54" t="n">
        <v>139.9</v>
      </c>
      <c r="F8" s="55" t="n">
        <f aca="false">(E8-B8)/B8</f>
        <v>0.0769822940723634</v>
      </c>
      <c r="G8" s="55" t="n">
        <f aca="false">D8*F8</f>
        <v>-0.0600461893764434</v>
      </c>
      <c r="H8" s="56" t="n">
        <f aca="false">ROUND(C8*(1+G8),0)</f>
        <v>197390</v>
      </c>
      <c r="I8" s="57" t="n">
        <f aca="false">B8*C8</f>
        <v>27279000</v>
      </c>
      <c r="J8" s="58" t="n">
        <f aca="false">E8*H8</f>
        <v>27614861</v>
      </c>
    </row>
    <row r="9" customFormat="false" ht="15" hidden="false" customHeight="false" outlineLevel="0" collapsed="false">
      <c r="A9" s="59" t="s">
        <v>18</v>
      </c>
      <c r="B9" s="22" t="n">
        <v>49.9</v>
      </c>
      <c r="C9" s="60" t="n">
        <v>68000</v>
      </c>
      <c r="D9" s="61" t="n">
        <v>-1.35</v>
      </c>
      <c r="E9" s="54" t="n">
        <v>54.9</v>
      </c>
      <c r="F9" s="62" t="n">
        <f aca="false">(E9-B9)/B9</f>
        <v>0.100200400801603</v>
      </c>
      <c r="G9" s="62" t="n">
        <f aca="false">D9*F9</f>
        <v>-0.135270541082164</v>
      </c>
      <c r="H9" s="56" t="n">
        <f aca="false">ROUND(C9*(1+G9),0)</f>
        <v>58802</v>
      </c>
      <c r="I9" s="63" t="n">
        <f aca="false">B9*C9</f>
        <v>3393200</v>
      </c>
      <c r="J9" s="58" t="n">
        <f aca="false">E9*H9</f>
        <v>3228229.8</v>
      </c>
    </row>
    <row r="10" customFormat="false" ht="15" hidden="false" customHeight="false" outlineLevel="0" collapsed="false">
      <c r="A10" s="51" t="s">
        <v>19</v>
      </c>
      <c r="B10" s="20" t="n">
        <v>39.9</v>
      </c>
      <c r="C10" s="52" t="n">
        <v>55000</v>
      </c>
      <c r="D10" s="53" t="n">
        <v>-0.85</v>
      </c>
      <c r="E10" s="54" t="n">
        <v>44.9</v>
      </c>
      <c r="F10" s="55" t="n">
        <f aca="false">(E10-B10)/B10</f>
        <v>0.12531328320802</v>
      </c>
      <c r="G10" s="55" t="n">
        <f aca="false">D10*F10</f>
        <v>-0.106516290726817</v>
      </c>
      <c r="H10" s="56" t="n">
        <f aca="false">ROUND(C10*(1+G10),0)</f>
        <v>49142</v>
      </c>
      <c r="I10" s="57" t="n">
        <f aca="false">B10*C10</f>
        <v>2194500</v>
      </c>
      <c r="J10" s="58" t="n">
        <f aca="false">E10*H10</f>
        <v>2206475.8</v>
      </c>
    </row>
    <row r="11" customFormat="false" ht="15" hidden="false" customHeight="false" outlineLevel="0" collapsed="false">
      <c r="A11" s="59" t="s">
        <v>20</v>
      </c>
      <c r="B11" s="22" t="n">
        <v>179.9</v>
      </c>
      <c r="C11" s="60" t="n">
        <v>95000</v>
      </c>
      <c r="D11" s="61" t="n">
        <v>-0.55</v>
      </c>
      <c r="E11" s="54" t="n">
        <v>189.9</v>
      </c>
      <c r="F11" s="62" t="n">
        <f aca="false">(E11-B11)/B11</f>
        <v>0.0555864369093941</v>
      </c>
      <c r="G11" s="62" t="n">
        <f aca="false">D11*F11</f>
        <v>-0.0305725403001668</v>
      </c>
      <c r="H11" s="56" t="n">
        <f aca="false">ROUND(C11*(1+G11),0)</f>
        <v>92096</v>
      </c>
      <c r="I11" s="63" t="n">
        <f aca="false">B11*C11</f>
        <v>17090500</v>
      </c>
      <c r="J11" s="58" t="n">
        <f aca="false">E11*H11</f>
        <v>17489030.4</v>
      </c>
    </row>
    <row r="12" customFormat="false" ht="15" hidden="false" customHeight="false" outlineLevel="0" collapsed="false">
      <c r="A12" s="24" t="s">
        <v>61</v>
      </c>
      <c r="B12" s="3"/>
      <c r="C12" s="64" t="n">
        <f aca="false">SUM(C6:C11)</f>
        <v>565000</v>
      </c>
      <c r="D12" s="3"/>
      <c r="E12" s="3"/>
      <c r="F12" s="3"/>
      <c r="G12" s="3"/>
      <c r="H12" s="64" t="n">
        <f aca="false">SUM(H6:H11)</f>
        <v>530046</v>
      </c>
      <c r="I12" s="65" t="n">
        <f aca="false">SUM(I6:I11)</f>
        <v>61223500</v>
      </c>
      <c r="J12" s="65" t="n">
        <f aca="false">SUM(J6:J11)</f>
        <v>62124005.4</v>
      </c>
    </row>
    <row r="14" customFormat="false" ht="15" hidden="false" customHeight="false" outlineLevel="0" collapsed="false">
      <c r="A14" s="12" t="s">
        <v>143</v>
      </c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15" hidden="false" customHeight="false" outlineLevel="0" collapsed="false">
      <c r="A15" s="66" t="s">
        <v>144</v>
      </c>
      <c r="B15" s="66"/>
      <c r="C15" s="66"/>
      <c r="D15" s="66"/>
      <c r="E15" s="66"/>
      <c r="F15" s="66"/>
      <c r="G15" s="67" t="n">
        <f aca="false">J12-I12</f>
        <v>900505.400000006</v>
      </c>
      <c r="H15" s="67"/>
      <c r="I15" s="67"/>
      <c r="J15" s="67"/>
    </row>
    <row r="16" customFormat="false" ht="15" hidden="false" customHeight="false" outlineLevel="0" collapsed="false">
      <c r="A16" s="66" t="s">
        <v>145</v>
      </c>
      <c r="B16" s="66"/>
      <c r="C16" s="66"/>
      <c r="D16" s="66"/>
      <c r="E16" s="66"/>
      <c r="F16" s="66"/>
      <c r="G16" s="68" t="n">
        <f aca="false">H12-C12</f>
        <v>-34954</v>
      </c>
      <c r="H16" s="68"/>
      <c r="I16" s="68"/>
      <c r="J16" s="68"/>
    </row>
    <row r="17" customFormat="false" ht="15" hidden="false" customHeight="false" outlineLevel="0" collapsed="false">
      <c r="A17" s="66" t="s">
        <v>146</v>
      </c>
      <c r="B17" s="66"/>
      <c r="C17" s="66"/>
      <c r="D17" s="66"/>
      <c r="E17" s="66"/>
      <c r="F17" s="66"/>
      <c r="G17" s="69" t="n">
        <f aca="false">(J12-I12)/I12</f>
        <v>0.0147084926539647</v>
      </c>
      <c r="H17" s="69"/>
      <c r="I17" s="69"/>
      <c r="J17" s="69"/>
    </row>
    <row r="18" customFormat="false" ht="15" hidden="false" customHeight="false" outlineLevel="0" collapsed="false">
      <c r="A18" s="66" t="s">
        <v>147</v>
      </c>
      <c r="B18" s="66"/>
      <c r="C18" s="66"/>
      <c r="D18" s="66"/>
      <c r="E18" s="66"/>
      <c r="F18" s="66"/>
      <c r="G18" s="67" t="n">
        <f aca="false">(J12-I12)*12</f>
        <v>10806064.8000001</v>
      </c>
      <c r="H18" s="67"/>
      <c r="I18" s="67"/>
      <c r="J18" s="67"/>
    </row>
  </sheetData>
  <mergeCells count="12">
    <mergeCell ref="A1:J1"/>
    <mergeCell ref="A2:J2"/>
    <mergeCell ref="A4:J4"/>
    <mergeCell ref="A14:J14"/>
    <mergeCell ref="A15:F15"/>
    <mergeCell ref="G15:J15"/>
    <mergeCell ref="A16:F16"/>
    <mergeCell ref="G16:J16"/>
    <mergeCell ref="A17:F17"/>
    <mergeCell ref="G17:J17"/>
    <mergeCell ref="A18:F18"/>
    <mergeCell ref="G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8" min="7" style="0" width="12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34.5" hidden="false" customHeight="true" outlineLevel="0" collapsed="false">
      <c r="A1" s="70" t="s">
        <v>148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customFormat="false" ht="15" hidden="false" customHeight="false" outlineLevel="0" collapsed="false">
      <c r="A2" s="2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12" t="s">
        <v>150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customFormat="false" ht="21.75" hidden="false" customHeight="true" outlineLevel="0" collapsed="false">
      <c r="A5" s="71" t="s">
        <v>151</v>
      </c>
      <c r="B5" s="71"/>
      <c r="C5" s="71"/>
      <c r="D5" s="71" t="s">
        <v>152</v>
      </c>
      <c r="E5" s="71"/>
      <c r="F5" s="71"/>
      <c r="G5" s="71" t="s">
        <v>153</v>
      </c>
      <c r="H5" s="71"/>
      <c r="I5" s="71"/>
      <c r="J5" s="71" t="s">
        <v>154</v>
      </c>
      <c r="K5" s="71"/>
      <c r="L5" s="71"/>
    </row>
    <row r="6" customFormat="false" ht="15" hidden="false" customHeight="false" outlineLevel="0" collapsed="false">
      <c r="A6" s="72" t="n">
        <f aca="false">Pricing_Simulator!I12</f>
        <v>61223500</v>
      </c>
      <c r="B6" s="72"/>
      <c r="C6" s="72"/>
      <c r="D6" s="73" t="n">
        <f aca="false">Pricing_Simulator!J12</f>
        <v>62124005.4</v>
      </c>
      <c r="E6" s="73"/>
      <c r="F6" s="73"/>
      <c r="G6" s="73" t="n">
        <f aca="false">Pricing_Simulator!J12-Pricing_Simulator!I12</f>
        <v>900505.400000006</v>
      </c>
      <c r="H6" s="73"/>
      <c r="I6" s="73"/>
      <c r="J6" s="73" t="n">
        <f aca="false">(Pricing_Simulator!J12-Pricing_Simulator!I12)*12</f>
        <v>10806064.8000001</v>
      </c>
      <c r="K6" s="73"/>
      <c r="L6" s="73"/>
    </row>
    <row r="7" customFormat="false" ht="15" hidden="false" customHeight="false" outlineLevel="0" collapsed="false">
      <c r="A7" s="72"/>
      <c r="B7" s="72"/>
      <c r="C7" s="72"/>
      <c r="D7" s="73"/>
      <c r="E7" s="73"/>
      <c r="F7" s="73"/>
      <c r="G7" s="73"/>
      <c r="H7" s="73"/>
      <c r="I7" s="73"/>
      <c r="J7" s="73"/>
      <c r="K7" s="73"/>
      <c r="L7" s="73"/>
    </row>
    <row r="9" customFormat="false" ht="21.75" hidden="false" customHeight="true" outlineLevel="0" collapsed="false">
      <c r="A9" s="12" t="s">
        <v>155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30" hidden="false" customHeight="true" outlineLevel="0" collapsed="false">
      <c r="A10" s="14" t="s">
        <v>4</v>
      </c>
      <c r="B10" s="14" t="s">
        <v>156</v>
      </c>
      <c r="C10" s="14" t="s">
        <v>157</v>
      </c>
      <c r="D10" s="14" t="s">
        <v>64</v>
      </c>
      <c r="E10" s="14" t="s">
        <v>158</v>
      </c>
      <c r="F10" s="14" t="s">
        <v>159</v>
      </c>
      <c r="G10" s="14" t="s">
        <v>160</v>
      </c>
      <c r="H10" s="14" t="s">
        <v>161</v>
      </c>
      <c r="I10" s="14" t="s">
        <v>162</v>
      </c>
      <c r="J10" s="14" t="s">
        <v>163</v>
      </c>
      <c r="K10" s="14" t="s">
        <v>164</v>
      </c>
      <c r="L10" s="14" t="s">
        <v>165</v>
      </c>
    </row>
    <row r="11" customFormat="false" ht="19.5" hidden="false" customHeight="true" outlineLevel="0" collapsed="false">
      <c r="A11" s="51" t="s">
        <v>15</v>
      </c>
      <c r="B11" s="43" t="n">
        <f aca="false">Pricing_Simulator!B6</f>
        <v>89.9</v>
      </c>
      <c r="C11" s="74" t="n">
        <f aca="false">Elasticity_Model!D12</f>
        <v>-0.45</v>
      </c>
      <c r="D11" s="75" t="str">
        <f aca="false">Elasticity_Model!I12</f>
        <v>Inelástico</v>
      </c>
      <c r="E11" s="19" t="n">
        <f aca="false">WTP_Conjoint!J12</f>
        <v>92.5</v>
      </c>
      <c r="F11" s="41" t="n">
        <f aca="false">Pricing_Simulator!E6</f>
        <v>94.9</v>
      </c>
      <c r="G11" s="55" t="n">
        <f aca="false">Pricing_Simulator!F6</f>
        <v>0.0556173526140156</v>
      </c>
      <c r="H11" s="55" t="n">
        <f aca="false">Pricing_Simulator!G6</f>
        <v>-0.025027808676307</v>
      </c>
      <c r="I11" s="57" t="n">
        <f aca="false">Pricing_Simulator!I6</f>
        <v>8540500</v>
      </c>
      <c r="J11" s="58" t="n">
        <f aca="false">Pricing_Simulator!J6</f>
        <v>8789827.8</v>
      </c>
      <c r="K11" s="76" t="n">
        <f aca="false">J11-I11</f>
        <v>249327.800000001</v>
      </c>
      <c r="L11" s="75" t="str">
        <f aca="false">_xlfn.IFS(G11&gt;0.05,"↑ Reajuste",G11&lt;-0.05,"↓ Reduzir",TRUE(),"= Manter")</f>
        <v>↑ Reajuste</v>
      </c>
    </row>
    <row r="12" customFormat="false" ht="19.5" hidden="false" customHeight="true" outlineLevel="0" collapsed="false">
      <c r="A12" s="59" t="s">
        <v>16</v>
      </c>
      <c r="B12" s="48" t="n">
        <f aca="false">Pricing_Simulator!B7</f>
        <v>64.9</v>
      </c>
      <c r="C12" s="77" t="n">
        <f aca="false">Elasticity_Model!D13</f>
        <v>-0.62</v>
      </c>
      <c r="D12" s="78" t="str">
        <f aca="false">Elasticity_Model!I13</f>
        <v>Inelástico</v>
      </c>
      <c r="E12" s="19" t="n">
        <f aca="false">WTP_Conjoint!J13</f>
        <v>67.5</v>
      </c>
      <c r="F12" s="41" t="n">
        <f aca="false">Pricing_Simulator!E7</f>
        <v>69.9</v>
      </c>
      <c r="G12" s="62" t="n">
        <f aca="false">Pricing_Simulator!F7</f>
        <v>0.0770416024653313</v>
      </c>
      <c r="H12" s="62" t="n">
        <f aca="false">Pricing_Simulator!G7</f>
        <v>-0.0477657935285054</v>
      </c>
      <c r="I12" s="63" t="n">
        <f aca="false">Pricing_Simulator!I7</f>
        <v>2725800</v>
      </c>
      <c r="J12" s="58" t="n">
        <f aca="false">Pricing_Simulator!J7</f>
        <v>2795580.6</v>
      </c>
      <c r="K12" s="79" t="n">
        <f aca="false">J12-I12</f>
        <v>69780.5999999996</v>
      </c>
      <c r="L12" s="78" t="str">
        <f aca="false">_xlfn.IFS(G12&gt;0.05,"↑ Reajuste",G12&lt;-0.05,"↓ Reduzir",TRUE(),"= Manter")</f>
        <v>↑ Reajuste</v>
      </c>
    </row>
    <row r="13" customFormat="false" ht="19.5" hidden="false" customHeight="true" outlineLevel="0" collapsed="false">
      <c r="A13" s="51" t="s">
        <v>17</v>
      </c>
      <c r="B13" s="43" t="n">
        <f aca="false">Pricing_Simulator!B8</f>
        <v>129.9</v>
      </c>
      <c r="C13" s="74" t="n">
        <f aca="false">Elasticity_Model!D14</f>
        <v>-0.78</v>
      </c>
      <c r="D13" s="75" t="str">
        <f aca="false">Elasticity_Model!I14</f>
        <v>Inelástico</v>
      </c>
      <c r="E13" s="19" t="n">
        <f aca="false">WTP_Conjoint!J14</f>
        <v>122.5</v>
      </c>
      <c r="F13" s="41" t="n">
        <f aca="false">Pricing_Simulator!E8</f>
        <v>139.9</v>
      </c>
      <c r="G13" s="55" t="n">
        <f aca="false">Pricing_Simulator!F8</f>
        <v>0.0769822940723634</v>
      </c>
      <c r="H13" s="55" t="n">
        <f aca="false">Pricing_Simulator!G8</f>
        <v>-0.0600461893764434</v>
      </c>
      <c r="I13" s="57" t="n">
        <f aca="false">Pricing_Simulator!I8</f>
        <v>27279000</v>
      </c>
      <c r="J13" s="58" t="n">
        <f aca="false">Pricing_Simulator!J8</f>
        <v>27614861</v>
      </c>
      <c r="K13" s="76" t="n">
        <f aca="false">J13-I13</f>
        <v>335861</v>
      </c>
      <c r="L13" s="75" t="str">
        <f aca="false">_xlfn.IFS(G13&gt;0.05,"↑ Reajuste",G13&lt;-0.05,"↓ Reduzir",TRUE(),"= Manter")</f>
        <v>↑ Reajuste</v>
      </c>
    </row>
    <row r="14" customFormat="false" ht="19.5" hidden="false" customHeight="true" outlineLevel="0" collapsed="false">
      <c r="A14" s="59" t="s">
        <v>18</v>
      </c>
      <c r="B14" s="48" t="n">
        <f aca="false">Pricing_Simulator!B9</f>
        <v>49.9</v>
      </c>
      <c r="C14" s="77" t="n">
        <f aca="false">Elasticity_Model!D15</f>
        <v>-1.35</v>
      </c>
      <c r="D14" s="78" t="str">
        <f aca="false">Elasticity_Model!I15</f>
        <v>Elástico</v>
      </c>
      <c r="E14" s="19" t="n">
        <f aca="false">WTP_Conjoint!J15</f>
        <v>53.5</v>
      </c>
      <c r="F14" s="41" t="n">
        <f aca="false">Pricing_Simulator!E9</f>
        <v>54.9</v>
      </c>
      <c r="G14" s="62" t="n">
        <f aca="false">Pricing_Simulator!F9</f>
        <v>0.100200400801603</v>
      </c>
      <c r="H14" s="62" t="n">
        <f aca="false">Pricing_Simulator!G9</f>
        <v>-0.135270541082164</v>
      </c>
      <c r="I14" s="63" t="n">
        <f aca="false">Pricing_Simulator!I9</f>
        <v>3393200</v>
      </c>
      <c r="J14" s="58" t="n">
        <f aca="false">Pricing_Simulator!J9</f>
        <v>3228229.8</v>
      </c>
      <c r="K14" s="79" t="n">
        <f aca="false">J14-I14</f>
        <v>-164970.2</v>
      </c>
      <c r="L14" s="78" t="str">
        <f aca="false">_xlfn.IFS(G14&gt;0.05,"↑ Reajuste",G14&lt;-0.05,"↓ Reduzir",TRUE(),"= Manter")</f>
        <v>↑ Reajuste</v>
      </c>
    </row>
    <row r="15" customFormat="false" ht="19.5" hidden="false" customHeight="true" outlineLevel="0" collapsed="false">
      <c r="A15" s="51" t="s">
        <v>19</v>
      </c>
      <c r="B15" s="43" t="n">
        <f aca="false">Pricing_Simulator!B10</f>
        <v>39.9</v>
      </c>
      <c r="C15" s="74" t="n">
        <f aca="false">Elasticity_Model!D16</f>
        <v>-0.85</v>
      </c>
      <c r="D15" s="75" t="str">
        <f aca="false">Elasticity_Model!I16</f>
        <v>Inelástico</v>
      </c>
      <c r="E15" s="19" t="n">
        <f aca="false">WTP_Conjoint!J16</f>
        <v>45</v>
      </c>
      <c r="F15" s="41" t="n">
        <f aca="false">Pricing_Simulator!E10</f>
        <v>44.9</v>
      </c>
      <c r="G15" s="55" t="n">
        <f aca="false">Pricing_Simulator!F10</f>
        <v>0.12531328320802</v>
      </c>
      <c r="H15" s="55" t="n">
        <f aca="false">Pricing_Simulator!G10</f>
        <v>-0.106516290726817</v>
      </c>
      <c r="I15" s="57" t="n">
        <f aca="false">Pricing_Simulator!I10</f>
        <v>2194500</v>
      </c>
      <c r="J15" s="58" t="n">
        <f aca="false">Pricing_Simulator!J10</f>
        <v>2206475.8</v>
      </c>
      <c r="K15" s="76" t="n">
        <f aca="false">J15-I15</f>
        <v>11975.7999999998</v>
      </c>
      <c r="L15" s="75" t="str">
        <f aca="false">_xlfn.IFS(G15&gt;0.05,"↑ Reajuste",G15&lt;-0.05,"↓ Reduzir",TRUE(),"= Manter")</f>
        <v>↑ Reajuste</v>
      </c>
    </row>
    <row r="16" customFormat="false" ht="19.5" hidden="false" customHeight="true" outlineLevel="0" collapsed="false">
      <c r="A16" s="59" t="s">
        <v>20</v>
      </c>
      <c r="B16" s="48" t="n">
        <f aca="false">Pricing_Simulator!B11</f>
        <v>179.9</v>
      </c>
      <c r="C16" s="77" t="n">
        <f aca="false">Elasticity_Model!D17</f>
        <v>-0.55</v>
      </c>
      <c r="D16" s="78" t="str">
        <f aca="false">Elasticity_Model!I17</f>
        <v>Inelástico</v>
      </c>
      <c r="E16" s="19" t="n">
        <f aca="false">WTP_Conjoint!J17</f>
        <v>170</v>
      </c>
      <c r="F16" s="41" t="n">
        <f aca="false">Pricing_Simulator!E11</f>
        <v>189.9</v>
      </c>
      <c r="G16" s="62" t="n">
        <f aca="false">Pricing_Simulator!F11</f>
        <v>0.0555864369093941</v>
      </c>
      <c r="H16" s="62" t="n">
        <f aca="false">Pricing_Simulator!G11</f>
        <v>-0.0305725403001668</v>
      </c>
      <c r="I16" s="63" t="n">
        <f aca="false">Pricing_Simulator!I11</f>
        <v>17090500</v>
      </c>
      <c r="J16" s="58" t="n">
        <f aca="false">Pricing_Simulator!J11</f>
        <v>17489030.4</v>
      </c>
      <c r="K16" s="79" t="n">
        <f aca="false">J16-I16</f>
        <v>398530.400000002</v>
      </c>
      <c r="L16" s="78" t="str">
        <f aca="false">_xlfn.IFS(G16&gt;0.05,"↑ Reajuste",G16&lt;-0.05,"↓ Reduzir",TRUE(),"= Manter")</f>
        <v>↑ Reajuste</v>
      </c>
    </row>
    <row r="19" customFormat="false" ht="15" hidden="false" customHeight="false" outlineLevel="0" collapsed="false">
      <c r="A19" s="80" t="s">
        <v>166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</row>
  </sheetData>
  <mergeCells count="13">
    <mergeCell ref="A1:L1"/>
    <mergeCell ref="A2:L2"/>
    <mergeCell ref="A4:L4"/>
    <mergeCell ref="A5:C5"/>
    <mergeCell ref="D5:F5"/>
    <mergeCell ref="G5:I5"/>
    <mergeCell ref="J5:L5"/>
    <mergeCell ref="A6:C7"/>
    <mergeCell ref="D6:F7"/>
    <mergeCell ref="G6:I7"/>
    <mergeCell ref="J6:L7"/>
    <mergeCell ref="A9:L9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2026-08-24T15:17:35Z</dcterms:created>
  <dc:creator>openpyxl</dc:creator>
  <dc:description/>
  <dc:language>en-US</dc:language>
  <cp:lastModifiedBy/>
  <dcterms:modified xsi:type="dcterms:W3CDTF">2026-08-24T15:17:35Z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