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Data" sheetId="2" state="visible" r:id="rId4"/>
    <sheet name="OLS_Coefficients" sheetId="3" state="visible" r:id="rId5"/>
    <sheet name="Elasticity_Model" sheetId="4" state="visible" r:id="rId6"/>
    <sheet name="IC95_Simulator" sheetId="5" state="visible" r:id="rId7"/>
    <sheet name="WTP_Conjoint" sheetId="6" state="visible" r:id="rId8"/>
    <sheet name="Cannibalization" sheetId="7" state="visible" r:id="rId9"/>
    <sheet name="Seasonal_Timing" sheetId="8" state="visible" r:id="rId10"/>
    <sheet name="Bundle_Optimizer" sheetId="9" state="visible" r:id="rId11"/>
    <sheet name="Pricing_Simulator" sheetId="10" state="visible" r:id="rId12"/>
    <sheet name="Dashboard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<sst xmlns="http://schemas.openxmlformats.org/spreadsheetml/2006/main" count="734" uniqueCount="294">
  <si>
    <t xml:space="preserve">PRISM v2.0 — Pricing &amp; Revenue Intelligence for Streaming Markets</t>
  </si>
  <si>
    <t xml:space="preserve">Claro tv+  |  Pricing &amp; Packaging Optimization Model  |  Versão 2.0  |  Regressão OLS Log-Log + Van Westendorp + Canibalização + IC 95% + Timing Sazonal</t>
  </si>
  <si>
    <t xml:space="preserve">ESTRUTURA DO MODELO</t>
  </si>
  <si>
    <t xml:space="preserve">Aba</t>
  </si>
  <si>
    <t xml:space="preserve">Conteúdo e Propósito</t>
  </si>
  <si>
    <t xml:space="preserve">README</t>
  </si>
  <si>
    <t xml:space="preserve">Este guia. Metodologia, instruções e legenda de cores.</t>
  </si>
  <si>
    <t xml:space="preserve">Raw_Data</t>
  </si>
  <si>
    <t xml:space="preserve">Dados históricos gerados via Python (24 meses). Substitua pelos dados reais da Claro tv+.</t>
  </si>
  <si>
    <t xml:space="preserve">OLS_Coefficients</t>
  </si>
  <si>
    <t xml:space="preserve">NOVO v2.0: Coeficientes OLS estimados por Python a partir do Raw_Data. Auto-atualizável.</t>
  </si>
  <si>
    <t xml:space="preserve">Elasticity_Model</t>
  </si>
  <si>
    <t xml:space="preserve">Regressão log-log por pacote com IC 95%, DW, R² ajustado e classificação de elasticidade.</t>
  </si>
  <si>
    <t xml:space="preserve">IC95_Simulator</t>
  </si>
  <si>
    <t xml:space="preserve">NOVO v2.0: Simulação de impacto de preço no cenário pessimista / central / otimista usando IC 95%.</t>
  </si>
  <si>
    <t xml:space="preserve">WTP_Conjoint</t>
  </si>
  <si>
    <t xml:space="preserve">Van Westendorp com OPP, PMC, PME e ação recomendada por segmento.</t>
  </si>
  <si>
    <t xml:space="preserve">Cannibalization</t>
  </si>
  <si>
    <t xml:space="preserve">NOVO v2.0: Matriz 6×6 de elasticidades cruzadas entre tiers. Modela substituição entre pacotes.</t>
  </si>
  <si>
    <t xml:space="preserve">Seasonal_Timing</t>
  </si>
  <si>
    <t xml:space="preserve">NOVO v2.0: Otimizador de timing de reajuste. Calcula impacto de churn por mês de implementação.</t>
  </si>
  <si>
    <t xml:space="preserve">Bundle_Optimizer</t>
  </si>
  <si>
    <t xml:space="preserve">Design e simulação de receita dos 6 bundles em 3 cenários de preço.</t>
  </si>
  <si>
    <t xml:space="preserve">Pricing_Simulator</t>
  </si>
  <si>
    <t xml:space="preserve">Painel interativo de pricing com impacto em receita, assinantes e receita anualizada.</t>
  </si>
  <si>
    <t xml:space="preserve">Dashboard</t>
  </si>
  <si>
    <t xml:space="preserve">Visão executiva consolidada com KPIs, mapa de oportunidade e recomendações.</t>
  </si>
  <si>
    <t xml:space="preserve">METODOLOGIA</t>
  </si>
  <si>
    <t xml:space="preserve">Regressão Log-Log OLS</t>
  </si>
  <si>
    <t xml:space="preserve">ln(Q) = α + β·ln(P) + γ·Sazonalidade + δ·Promo_Flag + ε  |  β = elasticidade-preço</t>
  </si>
  <si>
    <t xml:space="preserve">Interpretação de β</t>
  </si>
  <si>
    <t xml:space="preserve">β &lt; -1: Elástico (demanda sensível)  |  -1 &lt; β &lt; -0.5: Inelástico moderado  |  β &gt; -0.5: Inelástico forte</t>
  </si>
  <si>
    <t xml:space="preserve">IC 95% de β</t>
  </si>
  <si>
    <t xml:space="preserve">β ± 1.96 × SE(β)  |  Cenário pessimista usa IC_low, otimista usa IC_high</t>
  </si>
  <si>
    <t xml:space="preserve">Previsão de demanda</t>
  </si>
  <si>
    <t xml:space="preserve">Q_new = Q_base × (P_new/P_base)^β  |  Derivado da forma log-log</t>
  </si>
  <si>
    <t xml:space="preserve">Van Westendorp OPP</t>
  </si>
  <si>
    <t xml:space="preserve">OPP = média(Q2_p50, Q3_p50)  |  PMC = Q4_p50  |  PME = Q2_p50</t>
  </si>
  <si>
    <t xml:space="preserve">Elasticidade cruzada</t>
  </si>
  <si>
    <t xml:space="preserve">ΔQ_i = Q_i × ε_ij × ΔP_j/P_j  |  ε_ij = elasticidade cruzada i em relação a j</t>
  </si>
  <si>
    <t xml:space="preserve">Timing sazonal</t>
  </si>
  <si>
    <t xml:space="preserve">Impacto_ajustado = Impacto_base × Sazon_Index_mes  |  Menor índice = menor churn</t>
  </si>
  <si>
    <t xml:space="preserve">Durbin-Watson</t>
  </si>
  <si>
    <t xml:space="preserve">DW ≈ 2: sem autocorrelação  |  DW &lt; 1.5: autocorrelação positiva (considerar HAC)</t>
  </si>
  <si>
    <t xml:space="preserve">LEGENDA DE CORES</t>
  </si>
  <si>
    <t xml:space="preserve">Azul claro</t>
  </si>
  <si>
    <t xml:space="preserve">Inputs editáveis pelo usuário</t>
  </si>
  <si>
    <t xml:space="preserve">Amarelo</t>
  </si>
  <si>
    <t xml:space="preserve">Output chave / resultado principal</t>
  </si>
  <si>
    <t xml:space="preserve">Verde claro</t>
  </si>
  <si>
    <t xml:space="preserve">Cenário otimista / resultado positivo</t>
  </si>
  <si>
    <t xml:space="preserve">Vermelho claro</t>
  </si>
  <si>
    <t xml:space="preserve">Cenário pessimista / alerta</t>
  </si>
  <si>
    <t xml:space="preserve">Cinza</t>
  </si>
  <si>
    <t xml:space="preserve">Fórmulas / dados calculados automaticamente</t>
  </si>
  <si>
    <t xml:space="preserve">Navy</t>
  </si>
  <si>
    <t xml:space="preserve">Headers de seção / totais</t>
  </si>
  <si>
    <t xml:space="preserve">RAW DATA — DADOS HISTÓRICOS DE PREÇO E ASSINANTES (24 meses | Jan/2023–Dez/2024)</t>
  </si>
  <si>
    <t xml:space="preserve">Substitua pelos dados reais da Claro tv+. Células azuis = editáveis. A aba OLS_Coefficients lê daqui automaticamente.</t>
  </si>
  <si>
    <t xml:space="preserve">Mês</t>
  </si>
  <si>
    <t xml:space="preserve">Ano</t>
  </si>
  <si>
    <t xml:space="preserve">Pacote</t>
  </si>
  <si>
    <t xml:space="preserve">Preço (R$)</t>
  </si>
  <si>
    <t xml:space="preserve">Assinantes</t>
  </si>
  <si>
    <t xml:space="preserve">Novos</t>
  </si>
  <si>
    <t xml:space="preserve">Cancelamentos</t>
  </si>
  <si>
    <t xml:space="preserve">Receita (R$)</t>
  </si>
  <si>
    <t xml:space="preserve">Promo_Flag</t>
  </si>
  <si>
    <t xml:space="preserve">Sazon_Index</t>
  </si>
  <si>
    <t xml:space="preserve">Conc_Preço (R$)</t>
  </si>
  <si>
    <t xml:space="preserve">Jan</t>
  </si>
  <si>
    <t xml:space="preserve">Futebol</t>
  </si>
  <si>
    <t xml:space="preserve">MMA Combate</t>
  </si>
  <si>
    <t xml:space="preserve">Familia</t>
  </si>
  <si>
    <t xml:space="preserve">Series Filmes</t>
  </si>
  <si>
    <t xml:space="preserve">Infantil</t>
  </si>
  <si>
    <t xml:space="preserve">Bundle Plus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</si>
  <si>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</si>
  <si>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</si>
  <si>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</si>
  <si>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</si>
  <si>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</si>
  <si>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</si>
  <si>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</si>
  <si>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</si>
  <si>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</si>
  <si>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</si>
  <si>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</si>
  <si>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OLS_COEFFICIENTS — COEFICIENTES ESTIMADOS VIA REGRESSÃO OLS LOG-LOG  [NOVO v2.0]</t>
  </si>
  <si>
    <t xml:space="preserve">Estimados em Python a partir do Raw_Data. Não edite manualmente — rode o script Python para atualizar quando os dados mudarem.</t>
  </si>
  <si>
    <t xml:space="preserve">MODELO ESTIMADO  →  ln(Assinantes) = α + β·ln(Preço) + γ·Sazonality_Index + δ·Promo_Flag + ε</t>
  </si>
  <si>
    <t xml:space="preserve">α (Intercepto)</t>
  </si>
  <si>
    <t xml:space="preserve">β (Elasticidade-Preço)</t>
  </si>
  <si>
    <t xml:space="preserve">γ (Sazonalidade)</t>
  </si>
  <si>
    <t xml:space="preserve">δ (Promo)</t>
  </si>
  <si>
    <t xml:space="preserve">SE(β)</t>
  </si>
  <si>
    <t xml:space="preserve">t-stat β</t>
  </si>
  <si>
    <t xml:space="preserve">p-valor β</t>
  </si>
  <si>
    <t xml:space="preserve">IC 95% β — Low</t>
  </si>
  <si>
    <t xml:space="preserve">IC 95% β — High</t>
  </si>
  <si>
    <t xml:space="preserve">R²</t>
  </si>
  <si>
    <t xml:space="preserve">R² Ajustado</t>
  </si>
  <si>
    <t xml:space="preserve">n Obs</t>
  </si>
  <si>
    <t xml:space="preserve">Classificação</t>
  </si>
  <si>
    <t xml:space="preserve">Inelástico Forte</t>
  </si>
  <si>
    <t xml:space="preserve">Inelástico Moderado</t>
  </si>
  <si>
    <t xml:space="preserve">Elástico</t>
  </si>
  <si>
    <t xml:space="preserve">GUIA DE INTERPRETAÇÃO</t>
  </si>
  <si>
    <t xml:space="preserve">Condição</t>
  </si>
  <si>
    <t xml:space="preserve">Significado</t>
  </si>
  <si>
    <t xml:space="preserve">Ação Recomendada</t>
  </si>
  <si>
    <t xml:space="preserve">p-valor &lt; 0.05</t>
  </si>
  <si>
    <t xml:space="preserve">Coeficiente β estatisticamente significativo a 5%</t>
  </si>
  <si>
    <t xml:space="preserve">Usar o β para simulações</t>
  </si>
  <si>
    <t xml:space="preserve">p-valor 0.05–0.10</t>
  </si>
  <si>
    <t xml:space="preserve">Significativo a 10% — usar com cautela</t>
  </si>
  <si>
    <t xml:space="preserve">Ampliar intervalo de IC para 90%</t>
  </si>
  <si>
    <t xml:space="preserve">p-valor &gt; 0.10</t>
  </si>
  <si>
    <t xml:space="preserve">β não significativo — estimativa não confiável</t>
  </si>
  <si>
    <t xml:space="preserve">Coletar mais dados ou revisar especificação</t>
  </si>
  <si>
    <t xml:space="preserve">Durbin-Watson &lt; 1.5</t>
  </si>
  <si>
    <t xml:space="preserve">Autocorrelação positiva nos resíduos</t>
  </si>
  <si>
    <t xml:space="preserve">Considerar HAC/Newey-West (ver MMM)</t>
  </si>
  <si>
    <t xml:space="preserve">Durbin-Watson 1.5–2.5</t>
  </si>
  <si>
    <t xml:space="preserve">Sem autocorrelação relevante — OLS válido</t>
  </si>
  <si>
    <t xml:space="preserve">Prosseguir normalmente</t>
  </si>
  <si>
    <t xml:space="preserve">R² Ajustado &gt; 0.80</t>
  </si>
  <si>
    <t xml:space="preserve">Modelo explica &gt;80% da variação de demanda</t>
  </si>
  <si>
    <t xml:space="preserve">Bom ajuste para uso executivo</t>
  </si>
  <si>
    <t xml:space="preserve">ELASTICITY MODEL — ANÁLISE COMPLETA DE ELASTICIDADE-PREÇO POR PACOTE</t>
  </si>
  <si>
    <t xml:space="preserve">Lê coeficientes automaticamente da aba OLS_Coefficients. Calcula preço ótimo, receita atual e potencial.</t>
  </si>
  <si>
    <t xml:space="preserve">RESUMO DE ELASTICIDADE E OPORTUNIDADE DE PRICING</t>
  </si>
  <si>
    <t xml:space="preserve">Preço Atual (R$)</t>
  </si>
  <si>
    <t xml:space="preserve">Assin. Atuais</t>
  </si>
  <si>
    <t xml:space="preserve">β Elast.
(OLS)</t>
  </si>
  <si>
    <t xml:space="preserve">IC 95% Low</t>
  </si>
  <si>
    <t xml:space="preserve">IC 95% High</t>
  </si>
  <si>
    <t xml:space="preserve">p-valor</t>
  </si>
  <si>
    <t xml:space="preserve">R² Ajust.</t>
  </si>
  <si>
    <t xml:space="preserve">WTP Ótimo
(R$)</t>
  </si>
  <si>
    <t xml:space="preserve">Preço Ótimo
(R$)</t>
  </si>
  <si>
    <t xml:space="preserve">Receita Atual
(R$mm)</t>
  </si>
  <si>
    <t xml:space="preserve">Receita Ótima
(R$mm)</t>
  </si>
  <si>
    <t xml:space="preserve">Uplift
Receita</t>
  </si>
  <si>
    <t xml:space="preserve">TOTAL PORTFÓLIO</t>
  </si>
  <si>
    <t xml:space="preserve">IC95_SIMULATOR — SIMULAÇÃO COM INTERVALO DE CONFIANÇA 95%  [NOVO v2.0]</t>
  </si>
  <si>
    <t xml:space="preserve">Mostra impacto de preço no cenário PESSIMISTA (IC_low) / CENTRAL (β) / OTIMISTA (IC_high). Use para decisão de reajuste com margem de segurança.</t>
  </si>
  <si>
    <t xml:space="preserve">INPUTS — NOVO PREÇO PROPOSTO POR PACOTE (células azuis)</t>
  </si>
  <si>
    <t xml:space="preserve">Preço
Atual</t>
  </si>
  <si>
    <t xml:space="preserve">Assin.
Atuais</t>
  </si>
  <si>
    <t xml:space="preserve">NOVO PREÇO
PROPOSTO</t>
  </si>
  <si>
    <t xml:space="preserve">PESSIMISTA (β = IC Low)</t>
  </si>
  <si>
    <t xml:space="preserve">CENTRAL (β OLS)</t>
  </si>
  <si>
    <t xml:space="preserve">OTIMISTA (β = IC High)</t>
  </si>
  <si>
    <t xml:space="preserve">Δ Preço%</t>
  </si>
  <si>
    <t xml:space="preserve">Δ Demanda%</t>
  </si>
  <si>
    <t xml:space="preserve">Assin. Proj.</t>
  </si>
  <si>
    <t xml:space="preserve">Receita
(R$mm)</t>
  </si>
  <si>
    <t xml:space="preserve">TOTAL</t>
  </si>
  <si>
    <t xml:space="preserve">RESUMO DE DECISÃO POR PACOTE — RANGE DE IMPACTO DE RECEITA</t>
  </si>
  <si>
    <t xml:space="preserve">Receita Atual (R$mm)</t>
  </si>
  <si>
    <t xml:space="preserve">Pessimista (R$mm)</t>
  </si>
  <si>
    <t xml:space="preserve">Central (R$mm)</t>
  </si>
  <si>
    <t xml:space="preserve">Otimista (R$mm)</t>
  </si>
  <si>
    <t xml:space="preserve">Range Incerteza</t>
  </si>
  <si>
    <t xml:space="preserve">Recomendação</t>
  </si>
  <si>
    <t xml:space="preserve">WTP_CONJOINT — WILLINGNESS-TO-PAY  |  VAN WESTENDORP PRICE SENSITIVITY METER</t>
  </si>
  <si>
    <t xml:space="preserve">Q1=Caro demais | Q2=Caro mas aceitável | Q3=Bom negócio | Q4=Barato demais  |  Insira percentis p50 da sua survey por segmento.</t>
  </si>
  <si>
    <t xml:space="preserve">RESULTADOS VAN WESTENDORP POR PACOTE</t>
  </si>
  <si>
    <t xml:space="preserve">n Survey</t>
  </si>
  <si>
    <t xml:space="preserve">Q1 p50
Caro Demais
(R$)</t>
  </si>
  <si>
    <t xml:space="preserve">Q2 p50
Caro Aceitável
(R$)</t>
  </si>
  <si>
    <t xml:space="preserve">Q3 p50
Bom Negócio
(R$)</t>
  </si>
  <si>
    <t xml:space="preserve">Q4 p50
Barato Demais
(R$)</t>
  </si>
  <si>
    <t xml:space="preserve">PMC
(Mín Aceitável)
(R$)</t>
  </si>
  <si>
    <t xml:space="preserve">PME
(Máx Aceitável)
(R$)</t>
  </si>
  <si>
    <t xml:space="preserve">Faixa
Aceitável
(R$)</t>
  </si>
  <si>
    <t xml:space="preserve">OPP
(Preço Ótimo)
(R$)</t>
  </si>
  <si>
    <t xml:space="preserve">Preço Atual
(R$)</t>
  </si>
  <si>
    <t xml:space="preserve">Delta
OPP vs Atual</t>
  </si>
  <si>
    <t xml:space="preserve">Ação</t>
  </si>
  <si>
    <t xml:space="preserve">Confiança</t>
  </si>
  <si>
    <t xml:space="preserve">CANNIBALIZATION — MATRIZ DE ELASTICIDADE CRUZADA ENTRE PACOTES  [NOVO v2.0]</t>
  </si>
  <si>
    <t xml:space="preserve">ε_ij = elasticidade cruzada: variação % em Assinantes_i quando Preço_j varia 1%.  Positivo = substitutos. Negativo = complementares.</t>
  </si>
  <si>
    <t xml:space="preserve">PARTE 1 — MATRIZ DE ELASTICIDADES CRUZADAS (ε_ij)</t>
  </si>
  <si>
    <t xml:space="preserve">Pacote i \ Pacote j →</t>
  </si>
  <si>
    <t xml:space="preserve">MMA
Combate</t>
  </si>
  <si>
    <t xml:space="preserve">Series
Filmes</t>
  </si>
  <si>
    <t xml:space="preserve">Bundle
Plus</t>
  </si>
  <si>
    <t xml:space="preserve">PARTE 2 — SIMULADOR DE IMPACTO DE CANIBALIZAÇÃO</t>
  </si>
  <si>
    <t xml:space="preserve">Escolha um pacote j que sofre reajuste e veja o impacto em todos os outros pacotes i</t>
  </si>
  <si>
    <t xml:space="preserve">INPUT: Selecione o pacote que recebe reajuste e o % de mudança de preço</t>
  </si>
  <si>
    <t xml:space="preserve">Pacote com Reajuste:</t>
  </si>
  <si>
    <t xml:space="preserve">Variação de Preço Proposta (%):</t>
  </si>
  <si>
    <t xml:space="preserve">Pacote Afetado (i)</t>
  </si>
  <si>
    <t xml:space="preserve">ε_ij (Elasticidade
Cruzada)</t>
  </si>
  <si>
    <t xml:space="preserve">Δ% Demanda
Devido Canibal.</t>
  </si>
  <si>
    <t xml:space="preserve">Δ Assinantes</t>
  </si>
  <si>
    <t xml:space="preserve">Δ Receita
(R$mm)</t>
  </si>
  <si>
    <t xml:space="preserve">Efeito Líquido</t>
  </si>
  <si>
    <t xml:space="preserve">— pacote com reajuste —</t>
  </si>
  <si>
    <t xml:space="preserve">SEASONAL_TIMING — OTIMIZADOR DE TIMING DE REAJUSTE  [NOVO v2.0]</t>
  </si>
  <si>
    <t xml:space="preserve">Um reajuste de R$10 em novembro (índice 1.35) causa ~40% menos churn que o mesmo reajuste em fevereiro (índice 0.78). Encontre o mês ótimo.</t>
  </si>
  <si>
    <t xml:space="preserve">INPUTS — DEFINA O REAJUSTE A ANALISAR</t>
  </si>
  <si>
    <t xml:space="preserve">Pacote:</t>
  </si>
  <si>
    <t xml:space="preserve">Preço Atual (R$):</t>
  </si>
  <si>
    <t xml:space="preserve">Novo Preço Proposto (R$):</t>
  </si>
  <si>
    <t xml:space="preserve">Assinantes Base:</t>
  </si>
  <si>
    <t xml:space="preserve">Elasticidade β:</t>
  </si>
  <si>
    <t xml:space="preserve">IMPACTO POR MÊS DE IMPLEMENTAÇÃO DO REAJUSTE</t>
  </si>
  <si>
    <t xml:space="preserve">Índice
Sazonal</t>
  </si>
  <si>
    <t xml:space="preserve">Fator
Amortecimento</t>
  </si>
  <si>
    <t xml:space="preserve">Δ Preço
%</t>
  </si>
  <si>
    <t xml:space="preserve">Δ Demanda
Ajustada %</t>
  </si>
  <si>
    <t xml:space="preserve">Assin. Perdidos
(ajustado)</t>
  </si>
  <si>
    <t xml:space="preserve">Receita Mensal
Atual (R$)</t>
  </si>
  <si>
    <t xml:space="preserve">Receita Mensal
Pós Reajuste (R$)</t>
  </si>
  <si>
    <t xml:space="preserve">Ganho Mensal
(R$)</t>
  </si>
  <si>
    <t xml:space="preserve">Ganho Anual
(R$mm)</t>
  </si>
  <si>
    <t xml:space="preserve">Ranking
(1=melhor mês)</t>
  </si>
  <si>
    <t xml:space="preserve">RECOMENDAÇÃO DE TIMING</t>
  </si>
  <si>
    <t xml:space="preserve">Melhor mês para reajuste:</t>
  </si>
  <si>
    <t xml:space="preserve">Ganho anual no mês ótimo (R$mm):</t>
  </si>
  <si>
    <t xml:space="preserve">Ganho anual no pior mês (R$mm):</t>
  </si>
  <si>
    <t xml:space="preserve">Diferença ótimo vs. pior timing (R$mm):</t>
  </si>
  <si>
    <t xml:space="preserve">BUNDLE_OPTIMIZER — DESIGN E OTIMIZAÇÃO DE RECEITA POR BUNDLE</t>
  </si>
  <si>
    <t xml:space="preserve">Matriz de composição + simulação de receita em 3 cenários. Elasticidade média ponderada por conteúdo incluído.</t>
  </si>
  <si>
    <t xml:space="preserve">COMPOSIÇÃO DOS BUNDLES</t>
  </si>
  <si>
    <t xml:space="preserve">Bundle / Tier</t>
  </si>
  <si>
    <t xml:space="preserve">Streamings</t>
  </si>
  <si>
    <t xml:space="preserve">Telas</t>
  </si>
  <si>
    <t xml:space="preserve">Qualidade</t>
  </si>
  <si>
    <t xml:space="preserve">Preço
Base (R$)</t>
  </si>
  <si>
    <t xml:space="preserve">Elast. Méd.
Ponderada</t>
  </si>
  <si>
    <t xml:space="preserve">Essencial</t>
  </si>
  <si>
    <t xml:space="preserve">✗</t>
  </si>
  <si>
    <t xml:space="preserve">✓</t>
  </si>
  <si>
    <t xml:space="preserve">HD</t>
  </si>
  <si>
    <t xml:space="preserve">Plus</t>
  </si>
  <si>
    <t xml:space="preserve">Premium</t>
  </si>
  <si>
    <t xml:space="preserve">4K</t>
  </si>
  <si>
    <t xml:space="preserve">Familia Plus</t>
  </si>
  <si>
    <t xml:space="preserve">Esporte Total</t>
  </si>
  <si>
    <t xml:space="preserve">Futebol Add</t>
  </si>
  <si>
    <t xml:space="preserve">SIMULAÇÃO DE RECEITA — 3 CENÁRIOS DE PREÇO</t>
  </si>
  <si>
    <t xml:space="preserve">Bundle</t>
  </si>
  <si>
    <t xml:space="preserve">Preço Base
(R$)</t>
  </si>
  <si>
    <t xml:space="preserve">Elast.</t>
  </si>
  <si>
    <t xml:space="preserve">Assin. Base</t>
  </si>
  <si>
    <t xml:space="preserve">Preço -15%</t>
  </si>
  <si>
    <t xml:space="preserve">Assin. -15%</t>
  </si>
  <si>
    <t xml:space="preserve">Receita -15%
(R$mm)</t>
  </si>
  <si>
    <t xml:space="preserve">Preço Atual</t>
  </si>
  <si>
    <t xml:space="preserve">Assin. Atual</t>
  </si>
  <si>
    <t xml:space="preserve">Preço +15%</t>
  </si>
  <si>
    <t xml:space="preserve">Assin. +15%</t>
  </si>
  <si>
    <t xml:space="preserve">Receita +15%
(R$mm)</t>
  </si>
  <si>
    <t xml:space="preserve">Cenário
Ótimo</t>
  </si>
  <si>
    <t xml:space="preserve">PRICING SIMULATOR — PAINEL INTERATIVO DE IMPACTO DE PREÇO</t>
  </si>
  <si>
    <t xml:space="preserve">Altere as células AZUIS (Novo Preço Proposto) e veja impacto em assinantes, receita mensal e anualizada em tempo real.</t>
  </si>
  <si>
    <t xml:space="preserve">PAINEL DE CONTROLE</t>
  </si>
  <si>
    <t xml:space="preserve">Preço
Atual (R$)</t>
  </si>
  <si>
    <t xml:space="preserve">β OLS
(Auto)</t>
  </si>
  <si>
    <t xml:space="preserve">IC Low
(Pess.)</t>
  </si>
  <si>
    <t xml:space="preserve">IC High
(Otim.)</t>
  </si>
  <si>
    <t xml:space="preserve">NOVO PREÇO
PROPOSTO (R$)</t>
  </si>
  <si>
    <t xml:space="preserve">Δ Demanda
% (Central)</t>
  </si>
  <si>
    <t xml:space="preserve">Assin.
Projetados</t>
  </si>
  <si>
    <t xml:space="preserve">Receita
Atual (R$)</t>
  </si>
  <si>
    <t xml:space="preserve">Nova
Receita (R$)</t>
  </si>
  <si>
    <t xml:space="preserve">Δ Receita
%</t>
  </si>
  <si>
    <t xml:space="preserve">Status</t>
  </si>
  <si>
    <t xml:space="preserve">RESUMO DE IMPACTO</t>
  </si>
  <si>
    <t xml:space="preserve">Variação de Receita (R$/mês):</t>
  </si>
  <si>
    <t xml:space="preserve">Variação de Assinantes:</t>
  </si>
  <si>
    <t xml:space="preserve">Variação % de Receita:</t>
  </si>
  <si>
    <t xml:space="preserve">Receita Incremental Anualizada (R$):</t>
  </si>
  <si>
    <t xml:space="preserve">PRISM v2.0  |  DASHBOARD EXECUTIVO  |  PRICING &amp; REVENUE INTELLIGENCE FOR STREAMING MARKETS</t>
  </si>
  <si>
    <t xml:space="preserve">Claro tv+  |  Todas as métricas linkadas automaticamente das abas de modelo. Atualize os inputs e o dashboard recalcula.</t>
  </si>
  <si>
    <t xml:space="preserve">KPIs DE PRICING — IMPACTO DOS REAJUSTES PROPOSTOS</t>
  </si>
  <si>
    <t xml:space="preserve">Receita Mensal Atual</t>
  </si>
  <si>
    <t xml:space="preserve">Receita com Reajustes Propostos</t>
  </si>
  <si>
    <t xml:space="preserve">Ganho Mensal Estimado</t>
  </si>
  <si>
    <t xml:space="preserve">Ganho Anualizado</t>
  </si>
  <si>
    <t xml:space="preserve">MAPA DE PRICING — ELASTICIDADE, WTP E OPORTUNIDADE POR PACOTE</t>
  </si>
  <si>
    <t xml:space="preserve">β OLS
(IC Low / High)</t>
  </si>
  <si>
    <t xml:space="preserve">Classif.</t>
  </si>
  <si>
    <t xml:space="preserve">WTP
OPP (R$)</t>
  </si>
  <si>
    <t xml:space="preserve">Preço
Proposto</t>
  </si>
  <si>
    <t xml:space="preserve">Receita
Atual</t>
  </si>
  <si>
    <t xml:space="preserve">Receita
Proposta</t>
  </si>
  <si>
    <t xml:space="preserve">Timing
Ótimo</t>
  </si>
  <si>
    <t xml:space="preserve">IC Range
(Incerteza)</t>
  </si>
  <si>
    <t xml:space="preserve">METODOLOGIA: OLS Log-Log | ln(Q)=α+β·ln(P)+γ·S+δ·D | IC 95%=β±1.96×SE(β) | WTP via Van Westendorp | Canibalização via elasticidade cruzada | Timing via índice sazonal | PRISM v2.0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</si>
</sst>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&quot;R$&quot;#,##0.00"/>
    <numFmt numFmtId="166" formatCode="#,##0"/>
    <numFmt numFmtId="167" formatCode="&quot;R$&quot;#,##0"/>
    <numFmt numFmtId="168" formatCode="0.00"/>
    <numFmt numFmtId="169" formatCode="0.0000"/>
    <numFmt numFmtId="170" formatCode="0.00%"/>
    <numFmt numFmtId="171" formatCode="0.000"/>
    <numFmt numFmtId="172" formatCode="0.0%"/>
    <numFmt numFmtId="173" formatCode="\+#,##0;\-#,##0;\-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0D1B2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b val="true"/>
      <sz val="9"/>
      <color rgb="FF00C2CB"/>
      <name val="Arial"/>
      <family val="0"/>
      <charset val="1"/>
    </font>
    <font>
      <sz val="9"/>
      <color rgb="FF0D1B2A"/>
      <name val="Arial"/>
      <family val="0"/>
      <charset val="1"/>
    </font>
    <font>
      <b val="true"/>
      <sz val="9"/>
      <color rgb="FF0D1B2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00008B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sz val="10"/>
      <color rgb="FF00008B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2"/>
      <color rgb="FF0D1B2A"/>
      <name val="Arial"/>
      <family val="0"/>
      <charset val="1"/>
    </font>
    <font>
      <b val="true"/>
      <sz val="14"/>
      <color rgb="FF1E8449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b val="true"/>
      <sz val="14"/>
      <color rgb="FF0D1B2A"/>
      <name val="Arial"/>
      <family val="0"/>
      <charset val="1"/>
    </font>
    <font>
      <sz val="10"/>
      <color rgb="FFC0392B"/>
      <name val="Arial"/>
      <family val="0"/>
      <charset val="1"/>
    </font>
    <font>
      <sz val="10"/>
      <color rgb="FF1E8449"/>
      <name val="Arial"/>
      <family val="0"/>
      <charset val="1"/>
    </font>
    <font>
      <b val="true"/>
      <sz val="12"/>
      <color rgb="FF00008B"/>
      <name val="Arial"/>
      <family val="0"/>
      <charset val="1"/>
    </font>
    <font>
      <b val="true"/>
      <sz val="13"/>
      <color rgb="FF1E8449"/>
      <name val="Arial"/>
      <family val="0"/>
      <charset val="1"/>
    </font>
    <font>
      <b val="true"/>
      <sz val="20"/>
      <color rgb="FF00C2CB"/>
      <name val="Arial"/>
      <family val="0"/>
      <charset val="1"/>
    </font>
    <font>
      <b val="true"/>
      <sz val="20"/>
      <color rgb="FF1E8449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10"/>
      <color rgb="FF00008B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9"/>
      <color rgb="FFC0392B"/>
      <name val="Arial"/>
      <family val="0"/>
      <charset val="1"/>
    </font>
    <font>
      <i val="true"/>
      <sz val="8"/>
      <color rgb="FFBDC3C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D6EAF8"/>
        <bgColor rgb="FFE8F4FD"/>
      </patternFill>
    </fill>
    <fill>
      <patternFill patternType="solid">
        <fgColor rgb="FFFFFFFF"/>
        <bgColor rgb="FFF4F7FA"/>
      </patternFill>
    </fill>
    <fill>
      <patternFill patternType="solid">
        <fgColor rgb="FFF4F7FA"/>
        <bgColor rgb="FFE8F4FD"/>
      </patternFill>
    </fill>
    <fill>
      <patternFill patternType="solid">
        <fgColor rgb="FFE8F4FD"/>
        <bgColor rgb="FFE9F7EF"/>
      </patternFill>
    </fill>
    <fill>
      <patternFill patternType="solid">
        <fgColor rgb="FFFFF9C4"/>
        <bgColor rgb="FFFEF3E2"/>
      </patternFill>
    </fill>
    <fill>
      <patternFill patternType="solid">
        <fgColor rgb="FFE9F7EF"/>
        <bgColor rgb="FFE8F4FD"/>
      </patternFill>
    </fill>
    <fill>
      <patternFill patternType="solid">
        <fgColor rgb="FFFDECEA"/>
        <bgColor rgb="FFFEF3E2"/>
      </patternFill>
    </fill>
    <fill>
      <patternFill patternType="solid">
        <fgColor rgb="FFFEF3E2"/>
        <bgColor rgb="FFFDECEA"/>
      </patternFill>
    </fill>
    <fill>
      <patternFill patternType="solid">
        <fgColor rgb="FFBDC3C7"/>
        <bgColor rgb="FF99CCFF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00008B"/>
      </left>
      <right style="medium">
        <color rgb="FF00008B"/>
      </right>
      <top style="medium">
        <color rgb="FF00008B"/>
      </top>
      <bottom style="medium">
        <color rgb="FF00008B"/>
      </bottom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/>
      <diagonal/>
    </border>
    <border diagonalUp="false" diagonalDown="false">
      <left style="thin">
        <color rgb="FFBDC3C7"/>
      </left>
      <right/>
      <top style="thin">
        <color rgb="FFBDC3C7"/>
      </top>
      <bottom style="thin">
        <color rgb="FFBDC3C7"/>
      </bottom>
      <diagonal/>
    </border>
    <border diagonalUp="false" diagonalDown="false">
      <left style="medium">
        <color rgb="FF00C2CB"/>
      </left>
      <right/>
      <top style="medium">
        <color rgb="FF00C2CB"/>
      </top>
      <bottom/>
      <diagonal/>
    </border>
    <border diagonalUp="false" diagonalDown="false">
      <left style="medium">
        <color rgb="FF1E8449"/>
      </left>
      <right/>
      <top style="medium">
        <color rgb="FF1E844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2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0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31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B"/>
      <rgbColor rgb="FF808000"/>
      <rgbColor rgb="FF800080"/>
      <rgbColor rgb="FF008080"/>
      <rgbColor rgb="FFBDC3C7"/>
      <rgbColor rgb="FF808080"/>
      <rgbColor rgb="FF9999FF"/>
      <rgbColor rgb="FF993366"/>
      <rgbColor rgb="FFFFF9C4"/>
      <rgbColor rgb="FFD6EAF8"/>
      <rgbColor rgb="FF660066"/>
      <rgbColor rgb="FFFF8080"/>
      <rgbColor rgb="FF0066CC"/>
      <rgbColor rgb="FFF4F7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2CB"/>
      <rgbColor rgb="FFE8F4FD"/>
      <rgbColor rgb="FFE9F7EF"/>
      <rgbColor rgb="FFFEF3E2"/>
      <rgbColor rgb="FF99CCFF"/>
      <rgbColor rgb="FFFF99CC"/>
      <rgbColor rgb="FFCC99FF"/>
      <rgbColor rgb="FFFDECEA"/>
      <rgbColor rgb="FF3366FF"/>
      <rgbColor rgb="FF33CCCC"/>
      <rgbColor rgb="FF99CC00"/>
      <rgbColor rgb="FFFFCC00"/>
      <rgbColor rgb="FFFF9900"/>
      <rgbColor rgb="FFD35400"/>
      <rgbColor rgb="FF666699"/>
      <rgbColor rgb="FF969696"/>
      <rgbColor rgb="FF003366"/>
      <rgbColor rgb="FF1E8449"/>
      <rgbColor rgb="FF0D1B2A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80"/>
  </cols>
  <sheetData>
    <row r="1" customFormat="false" ht="34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1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7" t="s">
        <v>5</v>
      </c>
      <c r="B6" s="7" t="s">
        <v>6</v>
      </c>
    </row>
    <row r="7" customFormat="false" ht="15" hidden="false" customHeight="true" outlineLevel="0" collapsed="false">
      <c r="A7" s="8" t="s">
        <v>7</v>
      </c>
      <c r="B7" s="8" t="s">
        <v>8</v>
      </c>
    </row>
    <row r="8" customFormat="false" ht="15" hidden="false" customHeight="true" outlineLevel="0" collapsed="false">
      <c r="A8" s="7" t="s">
        <v>9</v>
      </c>
      <c r="B8" s="7" t="s">
        <v>10</v>
      </c>
    </row>
    <row r="9" customFormat="false" ht="15" hidden="false" customHeight="true" outlineLevel="0" collapsed="false">
      <c r="A9" s="8" t="s">
        <v>11</v>
      </c>
      <c r="B9" s="8" t="s">
        <v>12</v>
      </c>
    </row>
    <row r="10" customFormat="false" ht="15" hidden="false" customHeight="true" outlineLevel="0" collapsed="false">
      <c r="A10" s="7" t="s">
        <v>13</v>
      </c>
      <c r="B10" s="7" t="s">
        <v>14</v>
      </c>
    </row>
    <row r="11" customFormat="false" ht="15" hidden="false" customHeight="true" outlineLevel="0" collapsed="false">
      <c r="A11" s="8" t="s">
        <v>15</v>
      </c>
      <c r="B11" s="8" t="s">
        <v>16</v>
      </c>
    </row>
    <row r="12" customFormat="false" ht="15" hidden="false" customHeight="true" outlineLevel="0" collapsed="false">
      <c r="A12" s="7" t="s">
        <v>17</v>
      </c>
      <c r="B12" s="7" t="s">
        <v>18</v>
      </c>
    </row>
    <row r="13" customFormat="false" ht="15" hidden="false" customHeight="true" outlineLevel="0" collapsed="false">
      <c r="A13" s="8" t="s">
        <v>19</v>
      </c>
      <c r="B13" s="8" t="s">
        <v>20</v>
      </c>
    </row>
    <row r="14" customFormat="false" ht="15" hidden="false" customHeight="true" outlineLevel="0" collapsed="false">
      <c r="A14" s="7" t="s">
        <v>21</v>
      </c>
      <c r="B14" s="7" t="s">
        <v>22</v>
      </c>
    </row>
    <row r="15" customFormat="false" ht="15" hidden="false" customHeight="true" outlineLevel="0" collapsed="false">
      <c r="A15" s="8" t="s">
        <v>23</v>
      </c>
      <c r="B15" s="8" t="s">
        <v>24</v>
      </c>
    </row>
    <row r="16" customFormat="false" ht="15" hidden="false" customHeight="true" outlineLevel="0" collapsed="false">
      <c r="A16" s="7" t="s">
        <v>25</v>
      </c>
      <c r="B16" s="7" t="s">
        <v>26</v>
      </c>
    </row>
    <row r="19" customFormat="false" ht="21.75" hidden="false" customHeight="true" outlineLevel="0" collapsed="false">
      <c r="A19" s="4" t="s">
        <v>27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15" hidden="false" customHeight="true" outlineLevel="0" collapsed="false">
      <c r="A20" s="9" t="s">
        <v>28</v>
      </c>
      <c r="B20" s="10" t="s">
        <v>29</v>
      </c>
    </row>
    <row r="21" customFormat="false" ht="15" hidden="false" customHeight="true" outlineLevel="0" collapsed="false">
      <c r="A21" s="11" t="s">
        <v>30</v>
      </c>
      <c r="B21" s="12" t="s">
        <v>31</v>
      </c>
    </row>
    <row r="22" customFormat="false" ht="15" hidden="false" customHeight="true" outlineLevel="0" collapsed="false">
      <c r="A22" s="9" t="s">
        <v>32</v>
      </c>
      <c r="B22" s="10" t="s">
        <v>33</v>
      </c>
    </row>
    <row r="23" customFormat="false" ht="15" hidden="false" customHeight="true" outlineLevel="0" collapsed="false">
      <c r="A23" s="11" t="s">
        <v>34</v>
      </c>
      <c r="B23" s="12" t="s">
        <v>35</v>
      </c>
    </row>
    <row r="24" customFormat="false" ht="15" hidden="false" customHeight="true" outlineLevel="0" collapsed="false">
      <c r="A24" s="9" t="s">
        <v>36</v>
      </c>
      <c r="B24" s="10" t="s">
        <v>37</v>
      </c>
    </row>
    <row r="25" customFormat="false" ht="15" hidden="false" customHeight="true" outlineLevel="0" collapsed="false">
      <c r="A25" s="11" t="s">
        <v>38</v>
      </c>
      <c r="B25" s="12" t="s">
        <v>39</v>
      </c>
    </row>
    <row r="26" customFormat="false" ht="15" hidden="false" customHeight="true" outlineLevel="0" collapsed="false">
      <c r="A26" s="9" t="s">
        <v>40</v>
      </c>
      <c r="B26" s="10" t="s">
        <v>41</v>
      </c>
    </row>
    <row r="27" customFormat="false" ht="15" hidden="false" customHeight="true" outlineLevel="0" collapsed="false">
      <c r="A27" s="11" t="s">
        <v>42</v>
      </c>
      <c r="B27" s="12" t="s">
        <v>43</v>
      </c>
    </row>
    <row r="29" customFormat="false" ht="21.75" hidden="false" customHeight="true" outlineLevel="0" collapsed="false">
      <c r="A29" s="4" t="s">
        <v>44</v>
      </c>
      <c r="B29" s="4"/>
      <c r="C29" s="4"/>
      <c r="D29" s="4"/>
      <c r="E29" s="4"/>
      <c r="F29" s="4"/>
      <c r="G29" s="4"/>
      <c r="H29" s="4"/>
      <c r="I29" s="4"/>
      <c r="J29" s="4"/>
    </row>
    <row r="30" customFormat="false" ht="15" hidden="false" customHeight="true" outlineLevel="0" collapsed="false">
      <c r="A30" s="13" t="s">
        <v>45</v>
      </c>
      <c r="B30" s="12" t="s">
        <v>46</v>
      </c>
    </row>
    <row r="31" customFormat="false" ht="15" hidden="false" customHeight="true" outlineLevel="0" collapsed="false">
      <c r="A31" s="14" t="s">
        <v>47</v>
      </c>
      <c r="B31" s="12" t="s">
        <v>48</v>
      </c>
    </row>
    <row r="32" customFormat="false" ht="15" hidden="false" customHeight="true" outlineLevel="0" collapsed="false">
      <c r="A32" s="15" t="s">
        <v>49</v>
      </c>
      <c r="B32" s="12" t="s">
        <v>50</v>
      </c>
    </row>
    <row r="33" customFormat="false" ht="15" hidden="false" customHeight="true" outlineLevel="0" collapsed="false">
      <c r="A33" s="16" t="s">
        <v>51</v>
      </c>
      <c r="B33" s="12" t="s">
        <v>52</v>
      </c>
    </row>
    <row r="34" customFormat="false" ht="15" hidden="false" customHeight="true" outlineLevel="0" collapsed="false">
      <c r="A34" s="17" t="s">
        <v>53</v>
      </c>
      <c r="B34" s="12" t="s">
        <v>54</v>
      </c>
    </row>
    <row r="35" customFormat="false" ht="15" hidden="false" customHeight="true" outlineLevel="0" collapsed="false">
      <c r="A35" s="18" t="s">
        <v>55</v>
      </c>
      <c r="B35" s="12" t="s">
        <v>56</v>
      </c>
    </row>
  </sheetData>
  <mergeCells count="5">
    <mergeCell ref="A1:J1"/>
    <mergeCell ref="A2:J2"/>
    <mergeCell ref="A4:J4"/>
    <mergeCell ref="A19:J19"/>
    <mergeCell ref="A29:J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6"/>
    <col collapsed="false" customWidth="true" hidden="false" outlineLevel="0" max="4" min="3" style="1" width="14"/>
    <col collapsed="false" customWidth="true" hidden="false" outlineLevel="0" max="5" min="5" style="1" width="13"/>
    <col collapsed="false" customWidth="true" hidden="false" outlineLevel="0" max="6" min="6" style="1" width="11"/>
    <col collapsed="false" customWidth="true" hidden="false" outlineLevel="0" max="7" min="7" style="1" width="15"/>
    <col collapsed="false" customWidth="true" hidden="false" outlineLevel="0" max="8" min="8" style="1" width="16"/>
    <col collapsed="false" customWidth="true" hidden="false" outlineLevel="0" max="9" min="9" style="1" width="11"/>
    <col collapsed="false" customWidth="true" hidden="false" outlineLevel="0" max="10" min="10" style="1" width="12"/>
    <col collapsed="false" customWidth="true" hidden="false" outlineLevel="0" max="11" min="11" style="1" width="16"/>
  </cols>
  <sheetData>
    <row r="1" customFormat="false" ht="30" hidden="false" customHeight="true" outlineLevel="0" collapsed="false">
      <c r="A1" s="19" t="s">
        <v>57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true" outlineLevel="0" collapsed="false">
      <c r="A2" s="3" t="s">
        <v>58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21.75" hidden="false" customHeight="true" outlineLevel="0" collapsed="false">
      <c r="A3" s="20" t="s">
        <v>59</v>
      </c>
      <c r="B3" s="20" t="s">
        <v>60</v>
      </c>
      <c r="C3" s="20" t="s">
        <v>61</v>
      </c>
      <c r="D3" s="20" t="s">
        <v>62</v>
      </c>
      <c r="E3" s="20" t="s">
        <v>63</v>
      </c>
      <c r="F3" s="20" t="s">
        <v>64</v>
      </c>
      <c r="G3" s="20" t="s">
        <v>65</v>
      </c>
      <c r="H3" s="20" t="s">
        <v>66</v>
      </c>
      <c r="I3" s="20" t="s">
        <v>67</v>
      </c>
      <c r="J3" s="20" t="s">
        <v>68</v>
      </c>
      <c r="K3" s="20" t="s">
        <v>69</v>
      </c>
    </row>
    <row r="4" customFormat="false" ht="15" hidden="false" customHeight="true" outlineLevel="0" collapsed="false">
      <c r="A4" s="21" t="s">
        <v>70</v>
      </c>
      <c r="B4" s="21" t="n">
        <v>2023</v>
      </c>
      <c r="C4" s="21" t="s">
        <v>71</v>
      </c>
      <c r="D4" s="22" t="n">
        <v>89.22</v>
      </c>
      <c r="E4" s="23" t="n">
        <v>13546</v>
      </c>
      <c r="F4" s="23" t="n">
        <v>1083</v>
      </c>
      <c r="G4" s="23" t="n">
        <v>745</v>
      </c>
      <c r="H4" s="24" t="n">
        <v>1208574.12</v>
      </c>
      <c r="I4" s="25" t="n">
        <v>1</v>
      </c>
      <c r="J4" s="26" t="n">
        <v>0.82</v>
      </c>
      <c r="K4" s="22" t="n">
        <v>79.9</v>
      </c>
    </row>
    <row r="5" customFormat="false" ht="15" hidden="false" customHeight="true" outlineLevel="0" collapsed="false">
      <c r="A5" s="27" t="s">
        <v>70</v>
      </c>
      <c r="B5" s="27" t="n">
        <v>2023</v>
      </c>
      <c r="C5" s="27" t="s">
        <v>72</v>
      </c>
      <c r="D5" s="22" t="n">
        <v>63.56</v>
      </c>
      <c r="E5" s="28" t="n">
        <v>4432</v>
      </c>
      <c r="F5" s="28" t="n">
        <v>354</v>
      </c>
      <c r="G5" s="28" t="n">
        <v>243</v>
      </c>
      <c r="H5" s="29" t="n">
        <v>281697.92</v>
      </c>
      <c r="I5" s="25" t="n">
        <v>1</v>
      </c>
      <c r="J5" s="26" t="n">
        <v>0.82</v>
      </c>
      <c r="K5" s="22" t="n">
        <v>59.9</v>
      </c>
    </row>
    <row r="6" customFormat="false" ht="15" hidden="false" customHeight="true" outlineLevel="0" collapsed="false">
      <c r="A6" s="21" t="s">
        <v>70</v>
      </c>
      <c r="B6" s="21" t="n">
        <v>2023</v>
      </c>
      <c r="C6" s="21" t="s">
        <v>73</v>
      </c>
      <c r="D6" s="22" t="n">
        <v>126.46</v>
      </c>
      <c r="E6" s="23" t="n">
        <v>5650</v>
      </c>
      <c r="F6" s="23" t="n">
        <v>452</v>
      </c>
      <c r="G6" s="23" t="n">
        <v>310</v>
      </c>
      <c r="H6" s="24" t="n">
        <v>714499</v>
      </c>
      <c r="I6" s="25" t="n">
        <v>1</v>
      </c>
      <c r="J6" s="26" t="n">
        <v>0.82</v>
      </c>
      <c r="K6" s="22" t="n">
        <v>119.9</v>
      </c>
    </row>
    <row r="7" customFormat="false" ht="15" hidden="false" customHeight="true" outlineLevel="0" collapsed="false">
      <c r="A7" s="27" t="s">
        <v>70</v>
      </c>
      <c r="B7" s="27" t="n">
        <v>2023</v>
      </c>
      <c r="C7" s="27" t="s">
        <v>74</v>
      </c>
      <c r="D7" s="22" t="n">
        <v>50.52</v>
      </c>
      <c r="E7" s="28" t="n">
        <v>1000</v>
      </c>
      <c r="F7" s="28" t="n">
        <v>80</v>
      </c>
      <c r="G7" s="28" t="n">
        <v>55</v>
      </c>
      <c r="H7" s="29" t="n">
        <v>50520</v>
      </c>
      <c r="I7" s="25" t="n">
        <v>1</v>
      </c>
      <c r="J7" s="26" t="n">
        <v>0.82</v>
      </c>
      <c r="K7" s="22" t="n">
        <v>39.9</v>
      </c>
    </row>
    <row r="8" customFormat="false" ht="15" hidden="false" customHeight="true" outlineLevel="0" collapsed="false">
      <c r="A8" s="21" t="s">
        <v>70</v>
      </c>
      <c r="B8" s="21" t="n">
        <v>2023</v>
      </c>
      <c r="C8" s="21" t="s">
        <v>75</v>
      </c>
      <c r="D8" s="22" t="n">
        <v>38.75</v>
      </c>
      <c r="E8" s="23" t="n">
        <v>2707</v>
      </c>
      <c r="F8" s="23" t="n">
        <v>216</v>
      </c>
      <c r="G8" s="23" t="n">
        <v>148</v>
      </c>
      <c r="H8" s="24" t="n">
        <v>104896.25</v>
      </c>
      <c r="I8" s="25" t="n">
        <v>1</v>
      </c>
      <c r="J8" s="26" t="n">
        <v>0.82</v>
      </c>
      <c r="K8" s="22" t="n">
        <v>34.9</v>
      </c>
    </row>
    <row r="9" customFormat="false" ht="15" hidden="false" customHeight="true" outlineLevel="0" collapsed="false">
      <c r="A9" s="27" t="s">
        <v>70</v>
      </c>
      <c r="B9" s="27" t="n">
        <v>2023</v>
      </c>
      <c r="C9" s="27" t="s">
        <v>76</v>
      </c>
      <c r="D9" s="22" t="n">
        <v>176.48</v>
      </c>
      <c r="E9" s="28" t="n">
        <v>8421</v>
      </c>
      <c r="F9" s="28" t="n">
        <v>673</v>
      </c>
      <c r="G9" s="28" t="n">
        <v>463</v>
      </c>
      <c r="H9" s="29" t="n">
        <v>1486138.08</v>
      </c>
      <c r="I9" s="25" t="n">
        <v>1</v>
      </c>
      <c r="J9" s="26" t="n">
        <v>0.82</v>
      </c>
      <c r="K9" s="22" t="n">
        <v>169.9</v>
      </c>
    </row>
    <row r="10" customFormat="false" ht="15" hidden="false" customHeight="true" outlineLevel="0" collapsed="false">
      <c r="A10" s="21" t="s">
        <v>77</v>
      </c>
      <c r="B10" s="21" t="n">
        <v>2023</v>
      </c>
      <c r="C10" s="21" t="s">
        <v>71</v>
      </c>
      <c r="D10" s="22" t="n">
        <v>88.84</v>
      </c>
      <c r="E10" s="23" t="n">
        <v>11907</v>
      </c>
      <c r="F10" s="23" t="n">
        <v>952</v>
      </c>
      <c r="G10" s="23" t="n">
        <v>654</v>
      </c>
      <c r="H10" s="24" t="n">
        <v>1057817.88</v>
      </c>
      <c r="I10" s="25" t="n">
        <v>0</v>
      </c>
      <c r="J10" s="26" t="n">
        <v>0.78</v>
      </c>
      <c r="K10" s="22" t="n">
        <v>79.9</v>
      </c>
    </row>
    <row r="11" customFormat="false" ht="15" hidden="false" customHeight="true" outlineLevel="0" collapsed="false">
      <c r="A11" s="27" t="s">
        <v>77</v>
      </c>
      <c r="B11" s="27" t="n">
        <v>2023</v>
      </c>
      <c r="C11" s="27" t="s">
        <v>72</v>
      </c>
      <c r="D11" s="22" t="n">
        <v>64.09</v>
      </c>
      <c r="E11" s="28" t="n">
        <v>4123</v>
      </c>
      <c r="F11" s="28" t="n">
        <v>329</v>
      </c>
      <c r="G11" s="28" t="n">
        <v>226</v>
      </c>
      <c r="H11" s="29" t="n">
        <v>264243.07</v>
      </c>
      <c r="I11" s="25" t="n">
        <v>0</v>
      </c>
      <c r="J11" s="26" t="n">
        <v>0.78</v>
      </c>
      <c r="K11" s="22" t="n">
        <v>59.9</v>
      </c>
    </row>
    <row r="12" customFormat="false" ht="15" hidden="false" customHeight="true" outlineLevel="0" collapsed="false">
      <c r="A12" s="21" t="s">
        <v>77</v>
      </c>
      <c r="B12" s="21" t="n">
        <v>2023</v>
      </c>
      <c r="C12" s="21" t="s">
        <v>73</v>
      </c>
      <c r="D12" s="22" t="n">
        <v>130.77</v>
      </c>
      <c r="E12" s="23" t="n">
        <v>4941</v>
      </c>
      <c r="F12" s="23" t="n">
        <v>395</v>
      </c>
      <c r="G12" s="23" t="n">
        <v>271</v>
      </c>
      <c r="H12" s="24" t="n">
        <v>646134.57</v>
      </c>
      <c r="I12" s="25" t="n">
        <v>0</v>
      </c>
      <c r="J12" s="26" t="n">
        <v>0.78</v>
      </c>
      <c r="K12" s="22" t="n">
        <v>119.9</v>
      </c>
    </row>
    <row r="13" customFormat="false" ht="15" hidden="false" customHeight="true" outlineLevel="0" collapsed="false">
      <c r="A13" s="27" t="s">
        <v>77</v>
      </c>
      <c r="B13" s="27" t="n">
        <v>2023</v>
      </c>
      <c r="C13" s="27" t="s">
        <v>74</v>
      </c>
      <c r="D13" s="22" t="n">
        <v>49.5</v>
      </c>
      <c r="E13" s="28" t="n">
        <v>1000</v>
      </c>
      <c r="F13" s="28" t="n">
        <v>80</v>
      </c>
      <c r="G13" s="28" t="n">
        <v>55</v>
      </c>
      <c r="H13" s="29" t="n">
        <v>49500</v>
      </c>
      <c r="I13" s="25" t="n">
        <v>0</v>
      </c>
      <c r="J13" s="26" t="n">
        <v>0.78</v>
      </c>
      <c r="K13" s="22" t="n">
        <v>39.9</v>
      </c>
    </row>
    <row r="14" customFormat="false" ht="15" hidden="false" customHeight="true" outlineLevel="0" collapsed="false">
      <c r="A14" s="21" t="s">
        <v>77</v>
      </c>
      <c r="B14" s="21" t="n">
        <v>2023</v>
      </c>
      <c r="C14" s="21" t="s">
        <v>75</v>
      </c>
      <c r="D14" s="22" t="n">
        <v>39.79</v>
      </c>
      <c r="E14" s="23" t="n">
        <v>2424</v>
      </c>
      <c r="F14" s="23" t="n">
        <v>193</v>
      </c>
      <c r="G14" s="23" t="n">
        <v>133</v>
      </c>
      <c r="H14" s="24" t="n">
        <v>96450.96</v>
      </c>
      <c r="I14" s="25" t="n">
        <v>0</v>
      </c>
      <c r="J14" s="26" t="n">
        <v>0.78</v>
      </c>
      <c r="K14" s="22" t="n">
        <v>34.9</v>
      </c>
    </row>
    <row r="15" customFormat="false" ht="15" hidden="false" customHeight="true" outlineLevel="0" collapsed="false">
      <c r="A15" s="27" t="s">
        <v>77</v>
      </c>
      <c r="B15" s="27" t="n">
        <v>2023</v>
      </c>
      <c r="C15" s="27" t="s">
        <v>76</v>
      </c>
      <c r="D15" s="22" t="n">
        <v>180.05</v>
      </c>
      <c r="E15" s="28" t="n">
        <v>7901</v>
      </c>
      <c r="F15" s="28" t="n">
        <v>632</v>
      </c>
      <c r="G15" s="28" t="n">
        <v>434</v>
      </c>
      <c r="H15" s="29" t="n">
        <v>1422575.05</v>
      </c>
      <c r="I15" s="25" t="n">
        <v>0</v>
      </c>
      <c r="J15" s="26" t="n">
        <v>0.78</v>
      </c>
      <c r="K15" s="22" t="n">
        <v>169.9</v>
      </c>
    </row>
    <row r="16" customFormat="false" ht="15" hidden="false" customHeight="true" outlineLevel="0" collapsed="false">
      <c r="A16" s="21" t="s">
        <v>78</v>
      </c>
      <c r="B16" s="21" t="n">
        <v>2023</v>
      </c>
      <c r="C16" s="21" t="s">
        <v>71</v>
      </c>
      <c r="D16" s="22" t="n">
        <v>90.4</v>
      </c>
      <c r="E16" s="23" t="n">
        <v>13070</v>
      </c>
      <c r="F16" s="23" t="n">
        <v>1045</v>
      </c>
      <c r="G16" s="23" t="n">
        <v>718</v>
      </c>
      <c r="H16" s="24" t="n">
        <v>1181528</v>
      </c>
      <c r="I16" s="25" t="n">
        <v>0</v>
      </c>
      <c r="J16" s="26" t="n">
        <v>0.91</v>
      </c>
      <c r="K16" s="22" t="n">
        <v>79.9</v>
      </c>
    </row>
    <row r="17" customFormat="false" ht="15" hidden="false" customHeight="true" outlineLevel="0" collapsed="false">
      <c r="A17" s="27" t="s">
        <v>78</v>
      </c>
      <c r="B17" s="27" t="n">
        <v>2023</v>
      </c>
      <c r="C17" s="27" t="s">
        <v>72</v>
      </c>
      <c r="D17" s="22" t="n">
        <v>63.62</v>
      </c>
      <c r="E17" s="28" t="n">
        <v>4042</v>
      </c>
      <c r="F17" s="28" t="n">
        <v>323</v>
      </c>
      <c r="G17" s="28" t="n">
        <v>222</v>
      </c>
      <c r="H17" s="29" t="n">
        <v>257152.04</v>
      </c>
      <c r="I17" s="25" t="n">
        <v>0</v>
      </c>
      <c r="J17" s="26" t="n">
        <v>0.91</v>
      </c>
      <c r="K17" s="22" t="n">
        <v>59.9</v>
      </c>
    </row>
    <row r="18" customFormat="false" ht="15" hidden="false" customHeight="true" outlineLevel="0" collapsed="false">
      <c r="A18" s="21" t="s">
        <v>78</v>
      </c>
      <c r="B18" s="21" t="n">
        <v>2023</v>
      </c>
      <c r="C18" s="21" t="s">
        <v>73</v>
      </c>
      <c r="D18" s="22" t="n">
        <v>126.51</v>
      </c>
      <c r="E18" s="23" t="n">
        <v>5147</v>
      </c>
      <c r="F18" s="23" t="n">
        <v>411</v>
      </c>
      <c r="G18" s="23" t="n">
        <v>283</v>
      </c>
      <c r="H18" s="24" t="n">
        <v>651146.97</v>
      </c>
      <c r="I18" s="25" t="n">
        <v>0</v>
      </c>
      <c r="J18" s="26" t="n">
        <v>0.91</v>
      </c>
      <c r="K18" s="22" t="n">
        <v>119.9</v>
      </c>
    </row>
    <row r="19" customFormat="false" ht="15" hidden="false" customHeight="true" outlineLevel="0" collapsed="false">
      <c r="A19" s="27" t="s">
        <v>78</v>
      </c>
      <c r="B19" s="27" t="n">
        <v>2023</v>
      </c>
      <c r="C19" s="27" t="s">
        <v>74</v>
      </c>
      <c r="D19" s="22" t="n">
        <v>48.7</v>
      </c>
      <c r="E19" s="28" t="n">
        <v>1000</v>
      </c>
      <c r="F19" s="28" t="n">
        <v>80</v>
      </c>
      <c r="G19" s="28" t="n">
        <v>55</v>
      </c>
      <c r="H19" s="29" t="n">
        <v>48700</v>
      </c>
      <c r="I19" s="25" t="n">
        <v>0</v>
      </c>
      <c r="J19" s="26" t="n">
        <v>0.91</v>
      </c>
      <c r="K19" s="22" t="n">
        <v>39.9</v>
      </c>
    </row>
    <row r="20" customFormat="false" ht="15" hidden="false" customHeight="true" outlineLevel="0" collapsed="false">
      <c r="A20" s="21" t="s">
        <v>78</v>
      </c>
      <c r="B20" s="21" t="n">
        <v>2023</v>
      </c>
      <c r="C20" s="21" t="s">
        <v>75</v>
      </c>
      <c r="D20" s="22" t="n">
        <v>40.34</v>
      </c>
      <c r="E20" s="23" t="n">
        <v>2414</v>
      </c>
      <c r="F20" s="23" t="n">
        <v>193</v>
      </c>
      <c r="G20" s="23" t="n">
        <v>132</v>
      </c>
      <c r="H20" s="24" t="n">
        <v>97380.76</v>
      </c>
      <c r="I20" s="25" t="n">
        <v>0</v>
      </c>
      <c r="J20" s="26" t="n">
        <v>0.91</v>
      </c>
      <c r="K20" s="22" t="n">
        <v>34.9</v>
      </c>
    </row>
    <row r="21" customFormat="false" ht="15" hidden="false" customHeight="true" outlineLevel="0" collapsed="false">
      <c r="A21" s="27" t="s">
        <v>78</v>
      </c>
      <c r="B21" s="27" t="n">
        <v>2023</v>
      </c>
      <c r="C21" s="27" t="s">
        <v>76</v>
      </c>
      <c r="D21" s="22" t="n">
        <v>179.85</v>
      </c>
      <c r="E21" s="28" t="n">
        <v>7880</v>
      </c>
      <c r="F21" s="28" t="n">
        <v>630</v>
      </c>
      <c r="G21" s="28" t="n">
        <v>433</v>
      </c>
      <c r="H21" s="29" t="n">
        <v>1417218</v>
      </c>
      <c r="I21" s="25" t="n">
        <v>0</v>
      </c>
      <c r="J21" s="26" t="n">
        <v>0.91</v>
      </c>
      <c r="K21" s="22" t="n">
        <v>169.9</v>
      </c>
    </row>
    <row r="22" customFormat="false" ht="15" hidden="false" customHeight="true" outlineLevel="0" collapsed="false">
      <c r="A22" s="21" t="s">
        <v>79</v>
      </c>
      <c r="B22" s="21" t="n">
        <v>2023</v>
      </c>
      <c r="C22" s="21" t="s">
        <v>71</v>
      </c>
      <c r="D22" s="22" t="n">
        <v>87.39</v>
      </c>
      <c r="E22" s="23" t="n">
        <v>13224</v>
      </c>
      <c r="F22" s="23" t="n">
        <v>1057</v>
      </c>
      <c r="G22" s="23" t="n">
        <v>727</v>
      </c>
      <c r="H22" s="24" t="n">
        <v>1155645.36</v>
      </c>
      <c r="I22" s="25" t="n">
        <v>0</v>
      </c>
      <c r="J22" s="26" t="n">
        <v>0.95</v>
      </c>
      <c r="K22" s="22" t="n">
        <v>79.9</v>
      </c>
    </row>
    <row r="23" customFormat="false" ht="15" hidden="false" customHeight="true" outlineLevel="0" collapsed="false">
      <c r="A23" s="27" t="s">
        <v>79</v>
      </c>
      <c r="B23" s="27" t="n">
        <v>2023</v>
      </c>
      <c r="C23" s="27" t="s">
        <v>72</v>
      </c>
      <c r="D23" s="22" t="n">
        <v>65.53</v>
      </c>
      <c r="E23" s="28" t="n">
        <v>4101</v>
      </c>
      <c r="F23" s="28" t="n">
        <v>328</v>
      </c>
      <c r="G23" s="28" t="n">
        <v>225</v>
      </c>
      <c r="H23" s="29" t="n">
        <v>268738.53</v>
      </c>
      <c r="I23" s="25" t="n">
        <v>0</v>
      </c>
      <c r="J23" s="26" t="n">
        <v>0.95</v>
      </c>
      <c r="K23" s="22" t="n">
        <v>59.9</v>
      </c>
    </row>
    <row r="24" customFormat="false" ht="15" hidden="false" customHeight="true" outlineLevel="0" collapsed="false">
      <c r="A24" s="21" t="s">
        <v>79</v>
      </c>
      <c r="B24" s="21" t="n">
        <v>2023</v>
      </c>
      <c r="C24" s="21" t="s">
        <v>73</v>
      </c>
      <c r="D24" s="22" t="n">
        <v>128.43</v>
      </c>
      <c r="E24" s="23" t="n">
        <v>5662</v>
      </c>
      <c r="F24" s="23" t="n">
        <v>452</v>
      </c>
      <c r="G24" s="23" t="n">
        <v>311</v>
      </c>
      <c r="H24" s="24" t="n">
        <v>727170.66</v>
      </c>
      <c r="I24" s="25" t="n">
        <v>0</v>
      </c>
      <c r="J24" s="26" t="n">
        <v>0.95</v>
      </c>
      <c r="K24" s="22" t="n">
        <v>119.9</v>
      </c>
    </row>
    <row r="25" customFormat="false" ht="15" hidden="false" customHeight="true" outlineLevel="0" collapsed="false">
      <c r="A25" s="27" t="s">
        <v>79</v>
      </c>
      <c r="B25" s="27" t="n">
        <v>2023</v>
      </c>
      <c r="C25" s="27" t="s">
        <v>74</v>
      </c>
      <c r="D25" s="22" t="n">
        <v>48.96</v>
      </c>
      <c r="E25" s="28" t="n">
        <v>1000</v>
      </c>
      <c r="F25" s="28" t="n">
        <v>80</v>
      </c>
      <c r="G25" s="28" t="n">
        <v>55</v>
      </c>
      <c r="H25" s="29" t="n">
        <v>48960</v>
      </c>
      <c r="I25" s="25" t="n">
        <v>0</v>
      </c>
      <c r="J25" s="26" t="n">
        <v>0.95</v>
      </c>
      <c r="K25" s="22" t="n">
        <v>39.9</v>
      </c>
    </row>
    <row r="26" customFormat="false" ht="15" hidden="false" customHeight="true" outlineLevel="0" collapsed="false">
      <c r="A26" s="21" t="s">
        <v>79</v>
      </c>
      <c r="B26" s="21" t="n">
        <v>2023</v>
      </c>
      <c r="C26" s="21" t="s">
        <v>75</v>
      </c>
      <c r="D26" s="22" t="n">
        <v>41.02</v>
      </c>
      <c r="E26" s="23" t="n">
        <v>2484</v>
      </c>
      <c r="F26" s="23" t="n">
        <v>198</v>
      </c>
      <c r="G26" s="23" t="n">
        <v>136</v>
      </c>
      <c r="H26" s="24" t="n">
        <v>101893.68</v>
      </c>
      <c r="I26" s="25" t="n">
        <v>0</v>
      </c>
      <c r="J26" s="26" t="n">
        <v>0.95</v>
      </c>
      <c r="K26" s="22" t="n">
        <v>34.9</v>
      </c>
    </row>
    <row r="27" customFormat="false" ht="15" hidden="false" customHeight="true" outlineLevel="0" collapsed="false">
      <c r="A27" s="27" t="s">
        <v>79</v>
      </c>
      <c r="B27" s="27" t="n">
        <v>2023</v>
      </c>
      <c r="C27" s="27" t="s">
        <v>76</v>
      </c>
      <c r="D27" s="22" t="n">
        <v>184.45</v>
      </c>
      <c r="E27" s="28" t="n">
        <v>8063</v>
      </c>
      <c r="F27" s="28" t="n">
        <v>645</v>
      </c>
      <c r="G27" s="28" t="n">
        <v>443</v>
      </c>
      <c r="H27" s="29" t="n">
        <v>1487220.35</v>
      </c>
      <c r="I27" s="25" t="n">
        <v>0</v>
      </c>
      <c r="J27" s="26" t="n">
        <v>0.95</v>
      </c>
      <c r="K27" s="22" t="n">
        <v>169.9</v>
      </c>
    </row>
    <row r="28" customFormat="false" ht="15" hidden="false" customHeight="true" outlineLevel="0" collapsed="false">
      <c r="A28" s="21" t="s">
        <v>80</v>
      </c>
      <c r="B28" s="21" t="n">
        <v>2023</v>
      </c>
      <c r="C28" s="21" t="s">
        <v>71</v>
      </c>
      <c r="D28" s="22" t="n">
        <v>87.68</v>
      </c>
      <c r="E28" s="23" t="n">
        <v>13191</v>
      </c>
      <c r="F28" s="23" t="n">
        <v>1055</v>
      </c>
      <c r="G28" s="23" t="n">
        <v>725</v>
      </c>
      <c r="H28" s="24" t="n">
        <v>1156586.88</v>
      </c>
      <c r="I28" s="25" t="n">
        <v>0</v>
      </c>
      <c r="J28" s="26" t="n">
        <v>1.1</v>
      </c>
      <c r="K28" s="22" t="n">
        <v>79.9</v>
      </c>
    </row>
    <row r="29" customFormat="false" ht="15" hidden="false" customHeight="true" outlineLevel="0" collapsed="false">
      <c r="A29" s="27" t="s">
        <v>80</v>
      </c>
      <c r="B29" s="27" t="n">
        <v>2023</v>
      </c>
      <c r="C29" s="27" t="s">
        <v>72</v>
      </c>
      <c r="D29" s="22" t="n">
        <v>64.01</v>
      </c>
      <c r="E29" s="28" t="n">
        <v>4013</v>
      </c>
      <c r="F29" s="28" t="n">
        <v>321</v>
      </c>
      <c r="G29" s="28" t="n">
        <v>220</v>
      </c>
      <c r="H29" s="29" t="n">
        <v>256872.13</v>
      </c>
      <c r="I29" s="25" t="n">
        <v>0</v>
      </c>
      <c r="J29" s="26" t="n">
        <v>1.1</v>
      </c>
      <c r="K29" s="22" t="n">
        <v>59.9</v>
      </c>
    </row>
    <row r="30" customFormat="false" ht="15" hidden="false" customHeight="true" outlineLevel="0" collapsed="false">
      <c r="A30" s="21" t="s">
        <v>80</v>
      </c>
      <c r="B30" s="21" t="n">
        <v>2023</v>
      </c>
      <c r="C30" s="21" t="s">
        <v>73</v>
      </c>
      <c r="D30" s="22" t="n">
        <v>132.46</v>
      </c>
      <c r="E30" s="23" t="n">
        <v>4991</v>
      </c>
      <c r="F30" s="23" t="n">
        <v>399</v>
      </c>
      <c r="G30" s="23" t="n">
        <v>274</v>
      </c>
      <c r="H30" s="24" t="n">
        <v>661107.86</v>
      </c>
      <c r="I30" s="25" t="n">
        <v>0</v>
      </c>
      <c r="J30" s="26" t="n">
        <v>1.1</v>
      </c>
      <c r="K30" s="22" t="n">
        <v>119.9</v>
      </c>
    </row>
    <row r="31" customFormat="false" ht="15" hidden="false" customHeight="true" outlineLevel="0" collapsed="false">
      <c r="A31" s="27" t="s">
        <v>80</v>
      </c>
      <c r="B31" s="27" t="n">
        <v>2023</v>
      </c>
      <c r="C31" s="27" t="s">
        <v>74</v>
      </c>
      <c r="D31" s="22" t="n">
        <v>50.03</v>
      </c>
      <c r="E31" s="28" t="n">
        <v>1000</v>
      </c>
      <c r="F31" s="28" t="n">
        <v>80</v>
      </c>
      <c r="G31" s="28" t="n">
        <v>55</v>
      </c>
      <c r="H31" s="29" t="n">
        <v>50030</v>
      </c>
      <c r="I31" s="25" t="n">
        <v>0</v>
      </c>
      <c r="J31" s="26" t="n">
        <v>1.1</v>
      </c>
      <c r="K31" s="22" t="n">
        <v>39.9</v>
      </c>
    </row>
    <row r="32" customFormat="false" ht="15" hidden="false" customHeight="true" outlineLevel="0" collapsed="false">
      <c r="A32" s="21" t="s">
        <v>80</v>
      </c>
      <c r="B32" s="21" t="n">
        <v>2023</v>
      </c>
      <c r="C32" s="21" t="s">
        <v>75</v>
      </c>
      <c r="D32" s="22" t="n">
        <v>39.04</v>
      </c>
      <c r="E32" s="23" t="n">
        <v>2681</v>
      </c>
      <c r="F32" s="23" t="n">
        <v>214</v>
      </c>
      <c r="G32" s="23" t="n">
        <v>147</v>
      </c>
      <c r="H32" s="24" t="n">
        <v>104666.24</v>
      </c>
      <c r="I32" s="25" t="n">
        <v>0</v>
      </c>
      <c r="J32" s="26" t="n">
        <v>1.1</v>
      </c>
      <c r="K32" s="22" t="n">
        <v>34.9</v>
      </c>
    </row>
    <row r="33" customFormat="false" ht="15" hidden="false" customHeight="true" outlineLevel="0" collapsed="false">
      <c r="A33" s="27" t="s">
        <v>80</v>
      </c>
      <c r="B33" s="27" t="n">
        <v>2023</v>
      </c>
      <c r="C33" s="27" t="s">
        <v>76</v>
      </c>
      <c r="D33" s="22" t="n">
        <v>182.37</v>
      </c>
      <c r="E33" s="28" t="n">
        <v>8301</v>
      </c>
      <c r="F33" s="28" t="n">
        <v>664</v>
      </c>
      <c r="G33" s="28" t="n">
        <v>456</v>
      </c>
      <c r="H33" s="29" t="n">
        <v>1513853.37</v>
      </c>
      <c r="I33" s="25" t="n">
        <v>0</v>
      </c>
      <c r="J33" s="26" t="n">
        <v>1.1</v>
      </c>
      <c r="K33" s="22" t="n">
        <v>169.9</v>
      </c>
    </row>
    <row r="34" customFormat="false" ht="15" hidden="false" customHeight="true" outlineLevel="0" collapsed="false">
      <c r="A34" s="21" t="s">
        <v>81</v>
      </c>
      <c r="B34" s="21" t="n">
        <v>2023</v>
      </c>
      <c r="C34" s="21" t="s">
        <v>71</v>
      </c>
      <c r="D34" s="22" t="n">
        <v>91.36</v>
      </c>
      <c r="E34" s="23" t="n">
        <v>14245</v>
      </c>
      <c r="F34" s="23" t="n">
        <v>1139</v>
      </c>
      <c r="G34" s="23" t="n">
        <v>783</v>
      </c>
      <c r="H34" s="24" t="n">
        <v>1301423.2</v>
      </c>
      <c r="I34" s="25" t="n">
        <v>1</v>
      </c>
      <c r="J34" s="26" t="n">
        <v>1.05</v>
      </c>
      <c r="K34" s="22" t="n">
        <v>79.9</v>
      </c>
    </row>
    <row r="35" customFormat="false" ht="15" hidden="false" customHeight="true" outlineLevel="0" collapsed="false">
      <c r="A35" s="27" t="s">
        <v>81</v>
      </c>
      <c r="B35" s="27" t="n">
        <v>2023</v>
      </c>
      <c r="C35" s="27" t="s">
        <v>72</v>
      </c>
      <c r="D35" s="22" t="n">
        <v>63.4</v>
      </c>
      <c r="E35" s="28" t="n">
        <v>4467</v>
      </c>
      <c r="F35" s="28" t="n">
        <v>357</v>
      </c>
      <c r="G35" s="28" t="n">
        <v>245</v>
      </c>
      <c r="H35" s="29" t="n">
        <v>283207.8</v>
      </c>
      <c r="I35" s="25" t="n">
        <v>1</v>
      </c>
      <c r="J35" s="26" t="n">
        <v>1.05</v>
      </c>
      <c r="K35" s="22" t="n">
        <v>59.9</v>
      </c>
    </row>
    <row r="36" customFormat="false" ht="15" hidden="false" customHeight="true" outlineLevel="0" collapsed="false">
      <c r="A36" s="21" t="s">
        <v>81</v>
      </c>
      <c r="B36" s="21" t="n">
        <v>2023</v>
      </c>
      <c r="C36" s="21" t="s">
        <v>73</v>
      </c>
      <c r="D36" s="22" t="n">
        <v>132.73</v>
      </c>
      <c r="E36" s="23" t="n">
        <v>5332</v>
      </c>
      <c r="F36" s="23" t="n">
        <v>426</v>
      </c>
      <c r="G36" s="23" t="n">
        <v>293</v>
      </c>
      <c r="H36" s="24" t="n">
        <v>707716.36</v>
      </c>
      <c r="I36" s="25" t="n">
        <v>1</v>
      </c>
      <c r="J36" s="26" t="n">
        <v>1.05</v>
      </c>
      <c r="K36" s="22" t="n">
        <v>119.9</v>
      </c>
    </row>
    <row r="37" customFormat="false" ht="15" hidden="false" customHeight="true" outlineLevel="0" collapsed="false">
      <c r="A37" s="27" t="s">
        <v>81</v>
      </c>
      <c r="B37" s="27" t="n">
        <v>2023</v>
      </c>
      <c r="C37" s="27" t="s">
        <v>74</v>
      </c>
      <c r="D37" s="22" t="n">
        <v>48.59</v>
      </c>
      <c r="E37" s="28" t="n">
        <v>1000</v>
      </c>
      <c r="F37" s="28" t="n">
        <v>80</v>
      </c>
      <c r="G37" s="28" t="n">
        <v>55</v>
      </c>
      <c r="H37" s="29" t="n">
        <v>48590</v>
      </c>
      <c r="I37" s="25" t="n">
        <v>1</v>
      </c>
      <c r="J37" s="26" t="n">
        <v>1.05</v>
      </c>
      <c r="K37" s="22" t="n">
        <v>39.9</v>
      </c>
    </row>
    <row r="38" customFormat="false" ht="15" hidden="false" customHeight="true" outlineLevel="0" collapsed="false">
      <c r="A38" s="21" t="s">
        <v>81</v>
      </c>
      <c r="B38" s="21" t="n">
        <v>2023</v>
      </c>
      <c r="C38" s="21" t="s">
        <v>75</v>
      </c>
      <c r="D38" s="22" t="n">
        <v>39.45</v>
      </c>
      <c r="E38" s="23" t="n">
        <v>2909</v>
      </c>
      <c r="F38" s="23" t="n">
        <v>232</v>
      </c>
      <c r="G38" s="23" t="n">
        <v>159</v>
      </c>
      <c r="H38" s="24" t="n">
        <v>114760.05</v>
      </c>
      <c r="I38" s="25" t="n">
        <v>1</v>
      </c>
      <c r="J38" s="26" t="n">
        <v>1.05</v>
      </c>
      <c r="K38" s="22" t="n">
        <v>34.9</v>
      </c>
    </row>
    <row r="39" customFormat="false" ht="15" hidden="false" customHeight="true" outlineLevel="0" collapsed="false">
      <c r="A39" s="27" t="s">
        <v>81</v>
      </c>
      <c r="B39" s="27" t="n">
        <v>2023</v>
      </c>
      <c r="C39" s="27" t="s">
        <v>76</v>
      </c>
      <c r="D39" s="22" t="n">
        <v>181.38</v>
      </c>
      <c r="E39" s="28" t="n">
        <v>8486</v>
      </c>
      <c r="F39" s="28" t="n">
        <v>678</v>
      </c>
      <c r="G39" s="28" t="n">
        <v>466</v>
      </c>
      <c r="H39" s="29" t="n">
        <v>1539190.68</v>
      </c>
      <c r="I39" s="25" t="n">
        <v>1</v>
      </c>
      <c r="J39" s="26" t="n">
        <v>1.05</v>
      </c>
      <c r="K39" s="22" t="n">
        <v>169.9</v>
      </c>
    </row>
    <row r="40" customFormat="false" ht="15" hidden="false" customHeight="true" outlineLevel="0" collapsed="false">
      <c r="A40" s="21" t="s">
        <v>82</v>
      </c>
      <c r="B40" s="21" t="n">
        <v>2023</v>
      </c>
      <c r="C40" s="21" t="s">
        <v>71</v>
      </c>
      <c r="D40" s="22" t="n">
        <v>95.67</v>
      </c>
      <c r="E40" s="23" t="n">
        <v>12414</v>
      </c>
      <c r="F40" s="23" t="n">
        <v>993</v>
      </c>
      <c r="G40" s="23" t="n">
        <v>682</v>
      </c>
      <c r="H40" s="24" t="n">
        <v>1187647.38</v>
      </c>
      <c r="I40" s="25" t="n">
        <v>0</v>
      </c>
      <c r="J40" s="26" t="n">
        <v>0.98</v>
      </c>
      <c r="K40" s="22" t="n">
        <v>79.9</v>
      </c>
    </row>
    <row r="41" customFormat="false" ht="15" hidden="false" customHeight="true" outlineLevel="0" collapsed="false">
      <c r="A41" s="27" t="s">
        <v>82</v>
      </c>
      <c r="B41" s="27" t="n">
        <v>2023</v>
      </c>
      <c r="C41" s="27" t="s">
        <v>72</v>
      </c>
      <c r="D41" s="22" t="n">
        <v>68.36</v>
      </c>
      <c r="E41" s="28" t="n">
        <v>3956</v>
      </c>
      <c r="F41" s="28" t="n">
        <v>316</v>
      </c>
      <c r="G41" s="28" t="n">
        <v>217</v>
      </c>
      <c r="H41" s="29" t="n">
        <v>270432.16</v>
      </c>
      <c r="I41" s="25" t="n">
        <v>0</v>
      </c>
      <c r="J41" s="26" t="n">
        <v>0.98</v>
      </c>
      <c r="K41" s="22" t="n">
        <v>59.9</v>
      </c>
    </row>
    <row r="42" customFormat="false" ht="15" hidden="false" customHeight="true" outlineLevel="0" collapsed="false">
      <c r="A42" s="21" t="s">
        <v>82</v>
      </c>
      <c r="B42" s="21" t="n">
        <v>2023</v>
      </c>
      <c r="C42" s="21" t="s">
        <v>73</v>
      </c>
      <c r="D42" s="22" t="n">
        <v>137.21</v>
      </c>
      <c r="E42" s="23" t="n">
        <v>5190</v>
      </c>
      <c r="F42" s="23" t="n">
        <v>415</v>
      </c>
      <c r="G42" s="23" t="n">
        <v>285</v>
      </c>
      <c r="H42" s="24" t="n">
        <v>712119.9</v>
      </c>
      <c r="I42" s="25" t="n">
        <v>0</v>
      </c>
      <c r="J42" s="26" t="n">
        <v>0.98</v>
      </c>
      <c r="K42" s="22" t="n">
        <v>119.9</v>
      </c>
    </row>
    <row r="43" customFormat="false" ht="15" hidden="false" customHeight="true" outlineLevel="0" collapsed="false">
      <c r="A43" s="27" t="s">
        <v>82</v>
      </c>
      <c r="B43" s="27" t="n">
        <v>2023</v>
      </c>
      <c r="C43" s="27" t="s">
        <v>74</v>
      </c>
      <c r="D43" s="22" t="n">
        <v>51.88</v>
      </c>
      <c r="E43" s="28" t="n">
        <v>1000</v>
      </c>
      <c r="F43" s="28" t="n">
        <v>80</v>
      </c>
      <c r="G43" s="28" t="n">
        <v>55</v>
      </c>
      <c r="H43" s="29" t="n">
        <v>51880</v>
      </c>
      <c r="I43" s="25" t="n">
        <v>0</v>
      </c>
      <c r="J43" s="26" t="n">
        <v>0.98</v>
      </c>
      <c r="K43" s="22" t="n">
        <v>39.9</v>
      </c>
    </row>
    <row r="44" customFormat="false" ht="15" hidden="false" customHeight="true" outlineLevel="0" collapsed="false">
      <c r="A44" s="21" t="s">
        <v>82</v>
      </c>
      <c r="B44" s="21" t="n">
        <v>2023</v>
      </c>
      <c r="C44" s="21" t="s">
        <v>75</v>
      </c>
      <c r="D44" s="22" t="n">
        <v>41.55</v>
      </c>
      <c r="E44" s="23" t="n">
        <v>2422</v>
      </c>
      <c r="F44" s="23" t="n">
        <v>193</v>
      </c>
      <c r="G44" s="23" t="n">
        <v>133</v>
      </c>
      <c r="H44" s="24" t="n">
        <v>100634.1</v>
      </c>
      <c r="I44" s="25" t="n">
        <v>0</v>
      </c>
      <c r="J44" s="26" t="n">
        <v>0.98</v>
      </c>
      <c r="K44" s="22" t="n">
        <v>34.9</v>
      </c>
    </row>
    <row r="45" customFormat="false" ht="15" hidden="false" customHeight="true" outlineLevel="0" collapsed="false">
      <c r="A45" s="27" t="s">
        <v>82</v>
      </c>
      <c r="B45" s="27" t="n">
        <v>2023</v>
      </c>
      <c r="C45" s="27" t="s">
        <v>76</v>
      </c>
      <c r="D45" s="22" t="n">
        <v>182.69</v>
      </c>
      <c r="E45" s="28" t="n">
        <v>7916</v>
      </c>
      <c r="F45" s="28" t="n">
        <v>633</v>
      </c>
      <c r="G45" s="28" t="n">
        <v>435</v>
      </c>
      <c r="H45" s="29" t="n">
        <v>1446174.04</v>
      </c>
      <c r="I45" s="25" t="n">
        <v>0</v>
      </c>
      <c r="J45" s="26" t="n">
        <v>0.98</v>
      </c>
      <c r="K45" s="22" t="n">
        <v>169.9</v>
      </c>
    </row>
    <row r="46" customFormat="false" ht="15" hidden="false" customHeight="true" outlineLevel="0" collapsed="false">
      <c r="A46" s="21" t="s">
        <v>83</v>
      </c>
      <c r="B46" s="21" t="n">
        <v>2023</v>
      </c>
      <c r="C46" s="21" t="s">
        <v>71</v>
      </c>
      <c r="D46" s="22" t="n">
        <v>90.87</v>
      </c>
      <c r="E46" s="23" t="n">
        <v>12656</v>
      </c>
      <c r="F46" s="23" t="n">
        <v>1012</v>
      </c>
      <c r="G46" s="23" t="n">
        <v>696</v>
      </c>
      <c r="H46" s="24" t="n">
        <v>1150050.72</v>
      </c>
      <c r="I46" s="25" t="n">
        <v>0</v>
      </c>
      <c r="J46" s="26" t="n">
        <v>1.02</v>
      </c>
      <c r="K46" s="22" t="n">
        <v>79.9</v>
      </c>
    </row>
    <row r="47" customFormat="false" ht="15" hidden="false" customHeight="true" outlineLevel="0" collapsed="false">
      <c r="A47" s="27" t="s">
        <v>83</v>
      </c>
      <c r="B47" s="27" t="n">
        <v>2023</v>
      </c>
      <c r="C47" s="27" t="s">
        <v>72</v>
      </c>
      <c r="D47" s="22" t="n">
        <v>67.53</v>
      </c>
      <c r="E47" s="28" t="n">
        <v>4147</v>
      </c>
      <c r="F47" s="28" t="n">
        <v>331</v>
      </c>
      <c r="G47" s="28" t="n">
        <v>228</v>
      </c>
      <c r="H47" s="29" t="n">
        <v>280046.91</v>
      </c>
      <c r="I47" s="25" t="n">
        <v>0</v>
      </c>
      <c r="J47" s="26" t="n">
        <v>1.02</v>
      </c>
      <c r="K47" s="22" t="n">
        <v>59.9</v>
      </c>
    </row>
    <row r="48" customFormat="false" ht="15" hidden="false" customHeight="true" outlineLevel="0" collapsed="false">
      <c r="A48" s="21" t="s">
        <v>83</v>
      </c>
      <c r="B48" s="21" t="n">
        <v>2023</v>
      </c>
      <c r="C48" s="21" t="s">
        <v>73</v>
      </c>
      <c r="D48" s="22" t="n">
        <v>138.4</v>
      </c>
      <c r="E48" s="23" t="n">
        <v>4879</v>
      </c>
      <c r="F48" s="23" t="n">
        <v>390</v>
      </c>
      <c r="G48" s="23" t="n">
        <v>268</v>
      </c>
      <c r="H48" s="24" t="n">
        <v>675253.6</v>
      </c>
      <c r="I48" s="25" t="n">
        <v>0</v>
      </c>
      <c r="J48" s="26" t="n">
        <v>1.02</v>
      </c>
      <c r="K48" s="22" t="n">
        <v>119.9</v>
      </c>
    </row>
    <row r="49" customFormat="false" ht="15" hidden="false" customHeight="true" outlineLevel="0" collapsed="false">
      <c r="A49" s="27" t="s">
        <v>83</v>
      </c>
      <c r="B49" s="27" t="n">
        <v>2023</v>
      </c>
      <c r="C49" s="27" t="s">
        <v>74</v>
      </c>
      <c r="D49" s="22" t="n">
        <v>52.69</v>
      </c>
      <c r="E49" s="28" t="n">
        <v>1000</v>
      </c>
      <c r="F49" s="28" t="n">
        <v>80</v>
      </c>
      <c r="G49" s="28" t="n">
        <v>55</v>
      </c>
      <c r="H49" s="29" t="n">
        <v>52690</v>
      </c>
      <c r="I49" s="25" t="n">
        <v>0</v>
      </c>
      <c r="J49" s="26" t="n">
        <v>1.02</v>
      </c>
      <c r="K49" s="22" t="n">
        <v>39.9</v>
      </c>
    </row>
    <row r="50" customFormat="false" ht="15" hidden="false" customHeight="true" outlineLevel="0" collapsed="false">
      <c r="A50" s="21" t="s">
        <v>83</v>
      </c>
      <c r="B50" s="21" t="n">
        <v>2023</v>
      </c>
      <c r="C50" s="21" t="s">
        <v>75</v>
      </c>
      <c r="D50" s="22" t="n">
        <v>40.82</v>
      </c>
      <c r="E50" s="23" t="n">
        <v>2489</v>
      </c>
      <c r="F50" s="23" t="n">
        <v>199</v>
      </c>
      <c r="G50" s="23" t="n">
        <v>136</v>
      </c>
      <c r="H50" s="24" t="n">
        <v>101600.98</v>
      </c>
      <c r="I50" s="25" t="n">
        <v>0</v>
      </c>
      <c r="J50" s="26" t="n">
        <v>1.02</v>
      </c>
      <c r="K50" s="22" t="n">
        <v>34.9</v>
      </c>
    </row>
    <row r="51" customFormat="false" ht="15" hidden="false" customHeight="true" outlineLevel="0" collapsed="false">
      <c r="A51" s="27" t="s">
        <v>83</v>
      </c>
      <c r="B51" s="27" t="n">
        <v>2023</v>
      </c>
      <c r="C51" s="27" t="s">
        <v>76</v>
      </c>
      <c r="D51" s="22" t="n">
        <v>183.29</v>
      </c>
      <c r="E51" s="28" t="n">
        <v>7862</v>
      </c>
      <c r="F51" s="28" t="n">
        <v>628</v>
      </c>
      <c r="G51" s="28" t="n">
        <v>432</v>
      </c>
      <c r="H51" s="29" t="n">
        <v>1441025.98</v>
      </c>
      <c r="I51" s="25" t="n">
        <v>0</v>
      </c>
      <c r="J51" s="26" t="n">
        <v>1.02</v>
      </c>
      <c r="K51" s="22" t="n">
        <v>169.9</v>
      </c>
    </row>
    <row r="52" customFormat="false" ht="15" hidden="false" customHeight="true" outlineLevel="0" collapsed="false">
      <c r="A52" s="21" t="s">
        <v>84</v>
      </c>
      <c r="B52" s="21" t="n">
        <v>2023</v>
      </c>
      <c r="C52" s="21" t="s">
        <v>71</v>
      </c>
      <c r="D52" s="22" t="n">
        <v>95.91</v>
      </c>
      <c r="E52" s="23" t="n">
        <v>13181</v>
      </c>
      <c r="F52" s="23" t="n">
        <v>1054</v>
      </c>
      <c r="G52" s="23" t="n">
        <v>724</v>
      </c>
      <c r="H52" s="24" t="n">
        <v>1264189.71</v>
      </c>
      <c r="I52" s="25" t="n">
        <v>0</v>
      </c>
      <c r="J52" s="26" t="n">
        <v>1.08</v>
      </c>
      <c r="K52" s="22" t="n">
        <v>79.9</v>
      </c>
    </row>
    <row r="53" customFormat="false" ht="15" hidden="false" customHeight="true" outlineLevel="0" collapsed="false">
      <c r="A53" s="27" t="s">
        <v>84</v>
      </c>
      <c r="B53" s="27" t="n">
        <v>2023</v>
      </c>
      <c r="C53" s="27" t="s">
        <v>72</v>
      </c>
      <c r="D53" s="22" t="n">
        <v>69</v>
      </c>
      <c r="E53" s="28" t="n">
        <v>4143</v>
      </c>
      <c r="F53" s="28" t="n">
        <v>331</v>
      </c>
      <c r="G53" s="28" t="n">
        <v>227</v>
      </c>
      <c r="H53" s="29" t="n">
        <v>285867</v>
      </c>
      <c r="I53" s="25" t="n">
        <v>0</v>
      </c>
      <c r="J53" s="26" t="n">
        <v>1.08</v>
      </c>
      <c r="K53" s="22" t="n">
        <v>59.9</v>
      </c>
    </row>
    <row r="54" customFormat="false" ht="15" hidden="false" customHeight="true" outlineLevel="0" collapsed="false">
      <c r="A54" s="21" t="s">
        <v>84</v>
      </c>
      <c r="B54" s="21" t="n">
        <v>2023</v>
      </c>
      <c r="C54" s="21" t="s">
        <v>73</v>
      </c>
      <c r="D54" s="22" t="n">
        <v>137.56</v>
      </c>
      <c r="E54" s="23" t="n">
        <v>5239</v>
      </c>
      <c r="F54" s="23" t="n">
        <v>419</v>
      </c>
      <c r="G54" s="23" t="n">
        <v>288</v>
      </c>
      <c r="H54" s="24" t="n">
        <v>720676.84</v>
      </c>
      <c r="I54" s="25" t="n">
        <v>0</v>
      </c>
      <c r="J54" s="26" t="n">
        <v>1.08</v>
      </c>
      <c r="K54" s="22" t="n">
        <v>119.9</v>
      </c>
    </row>
    <row r="55" customFormat="false" ht="15" hidden="false" customHeight="true" outlineLevel="0" collapsed="false">
      <c r="A55" s="27" t="s">
        <v>84</v>
      </c>
      <c r="B55" s="27" t="n">
        <v>2023</v>
      </c>
      <c r="C55" s="27" t="s">
        <v>74</v>
      </c>
      <c r="D55" s="22" t="n">
        <v>53.13</v>
      </c>
      <c r="E55" s="28" t="n">
        <v>1000</v>
      </c>
      <c r="F55" s="28" t="n">
        <v>80</v>
      </c>
      <c r="G55" s="28" t="n">
        <v>55</v>
      </c>
      <c r="H55" s="29" t="n">
        <v>53130</v>
      </c>
      <c r="I55" s="25" t="n">
        <v>0</v>
      </c>
      <c r="J55" s="26" t="n">
        <v>1.08</v>
      </c>
      <c r="K55" s="22" t="n">
        <v>39.9</v>
      </c>
    </row>
    <row r="56" customFormat="false" ht="15" hidden="false" customHeight="true" outlineLevel="0" collapsed="false">
      <c r="A56" s="21" t="s">
        <v>84</v>
      </c>
      <c r="B56" s="21" t="n">
        <v>2023</v>
      </c>
      <c r="C56" s="21" t="s">
        <v>75</v>
      </c>
      <c r="D56" s="22" t="n">
        <v>41.04</v>
      </c>
      <c r="E56" s="23" t="n">
        <v>2496</v>
      </c>
      <c r="F56" s="23" t="n">
        <v>199</v>
      </c>
      <c r="G56" s="23" t="n">
        <v>137</v>
      </c>
      <c r="H56" s="24" t="n">
        <v>102435.84</v>
      </c>
      <c r="I56" s="25" t="n">
        <v>0</v>
      </c>
      <c r="J56" s="26" t="n">
        <v>1.08</v>
      </c>
      <c r="K56" s="22" t="n">
        <v>34.9</v>
      </c>
    </row>
    <row r="57" customFormat="false" ht="15" hidden="false" customHeight="true" outlineLevel="0" collapsed="false">
      <c r="A57" s="27" t="s">
        <v>84</v>
      </c>
      <c r="B57" s="27" t="n">
        <v>2023</v>
      </c>
      <c r="C57" s="27" t="s">
        <v>76</v>
      </c>
      <c r="D57" s="22" t="n">
        <v>186.28</v>
      </c>
      <c r="E57" s="28" t="n">
        <v>7874</v>
      </c>
      <c r="F57" s="28" t="n">
        <v>629</v>
      </c>
      <c r="G57" s="28" t="n">
        <v>433</v>
      </c>
      <c r="H57" s="29" t="n">
        <v>1466768.72</v>
      </c>
      <c r="I57" s="25" t="n">
        <v>0</v>
      </c>
      <c r="J57" s="26" t="n">
        <v>1.08</v>
      </c>
      <c r="K57" s="22" t="n">
        <v>169.9</v>
      </c>
    </row>
    <row r="58" customFormat="false" ht="15" hidden="false" customHeight="true" outlineLevel="0" collapsed="false">
      <c r="A58" s="21" t="s">
        <v>85</v>
      </c>
      <c r="B58" s="21" t="n">
        <v>2023</v>
      </c>
      <c r="C58" s="21" t="s">
        <v>71</v>
      </c>
      <c r="D58" s="22" t="n">
        <v>95.28</v>
      </c>
      <c r="E58" s="23" t="n">
        <v>12101</v>
      </c>
      <c r="F58" s="23" t="n">
        <v>968</v>
      </c>
      <c r="G58" s="23" t="n">
        <v>665</v>
      </c>
      <c r="H58" s="24" t="n">
        <v>1152983.28</v>
      </c>
      <c r="I58" s="25" t="n">
        <v>0</v>
      </c>
      <c r="J58" s="26" t="n">
        <v>1.12</v>
      </c>
      <c r="K58" s="22" t="n">
        <v>79.9</v>
      </c>
    </row>
    <row r="59" customFormat="false" ht="15" hidden="false" customHeight="true" outlineLevel="0" collapsed="false">
      <c r="A59" s="27" t="s">
        <v>85</v>
      </c>
      <c r="B59" s="27" t="n">
        <v>2023</v>
      </c>
      <c r="C59" s="27" t="s">
        <v>72</v>
      </c>
      <c r="D59" s="22" t="n">
        <v>66.37</v>
      </c>
      <c r="E59" s="28" t="n">
        <v>4168</v>
      </c>
      <c r="F59" s="28" t="n">
        <v>333</v>
      </c>
      <c r="G59" s="28" t="n">
        <v>229</v>
      </c>
      <c r="H59" s="29" t="n">
        <v>276630.16</v>
      </c>
      <c r="I59" s="25" t="n">
        <v>0</v>
      </c>
      <c r="J59" s="26" t="n">
        <v>1.12</v>
      </c>
      <c r="K59" s="22" t="n">
        <v>59.9</v>
      </c>
    </row>
    <row r="60" customFormat="false" ht="15" hidden="false" customHeight="true" outlineLevel="0" collapsed="false">
      <c r="A60" s="21" t="s">
        <v>85</v>
      </c>
      <c r="B60" s="21" t="n">
        <v>2023</v>
      </c>
      <c r="C60" s="21" t="s">
        <v>73</v>
      </c>
      <c r="D60" s="22" t="n">
        <v>132.01</v>
      </c>
      <c r="E60" s="23" t="n">
        <v>5299</v>
      </c>
      <c r="F60" s="23" t="n">
        <v>423</v>
      </c>
      <c r="G60" s="23" t="n">
        <v>291</v>
      </c>
      <c r="H60" s="24" t="n">
        <v>699520.99</v>
      </c>
      <c r="I60" s="25" t="n">
        <v>0</v>
      </c>
      <c r="J60" s="26" t="n">
        <v>1.12</v>
      </c>
      <c r="K60" s="22" t="n">
        <v>119.9</v>
      </c>
    </row>
    <row r="61" customFormat="false" ht="15" hidden="false" customHeight="true" outlineLevel="0" collapsed="false">
      <c r="A61" s="27" t="s">
        <v>85</v>
      </c>
      <c r="B61" s="27" t="n">
        <v>2023</v>
      </c>
      <c r="C61" s="27" t="s">
        <v>74</v>
      </c>
      <c r="D61" s="22" t="n">
        <v>51.35</v>
      </c>
      <c r="E61" s="28" t="n">
        <v>1000</v>
      </c>
      <c r="F61" s="28" t="n">
        <v>80</v>
      </c>
      <c r="G61" s="28" t="n">
        <v>55</v>
      </c>
      <c r="H61" s="29" t="n">
        <v>51350</v>
      </c>
      <c r="I61" s="25" t="n">
        <v>0</v>
      </c>
      <c r="J61" s="26" t="n">
        <v>1.12</v>
      </c>
      <c r="K61" s="22" t="n">
        <v>39.9</v>
      </c>
    </row>
    <row r="62" customFormat="false" ht="15" hidden="false" customHeight="true" outlineLevel="0" collapsed="false">
      <c r="A62" s="21" t="s">
        <v>85</v>
      </c>
      <c r="B62" s="21" t="n">
        <v>2023</v>
      </c>
      <c r="C62" s="21" t="s">
        <v>75</v>
      </c>
      <c r="D62" s="22" t="n">
        <v>41.54</v>
      </c>
      <c r="E62" s="23" t="n">
        <v>2434</v>
      </c>
      <c r="F62" s="23" t="n">
        <v>194</v>
      </c>
      <c r="G62" s="23" t="n">
        <v>133</v>
      </c>
      <c r="H62" s="24" t="n">
        <v>101108.36</v>
      </c>
      <c r="I62" s="25" t="n">
        <v>0</v>
      </c>
      <c r="J62" s="26" t="n">
        <v>1.12</v>
      </c>
      <c r="K62" s="22" t="n">
        <v>34.9</v>
      </c>
    </row>
    <row r="63" customFormat="false" ht="15" hidden="false" customHeight="true" outlineLevel="0" collapsed="false">
      <c r="A63" s="27" t="s">
        <v>85</v>
      </c>
      <c r="B63" s="27" t="n">
        <v>2023</v>
      </c>
      <c r="C63" s="27" t="s">
        <v>76</v>
      </c>
      <c r="D63" s="22" t="n">
        <v>192.39</v>
      </c>
      <c r="E63" s="28" t="n">
        <v>8202</v>
      </c>
      <c r="F63" s="28" t="n">
        <v>656</v>
      </c>
      <c r="G63" s="28" t="n">
        <v>451</v>
      </c>
      <c r="H63" s="29" t="n">
        <v>1577982.78</v>
      </c>
      <c r="I63" s="25" t="n">
        <v>0</v>
      </c>
      <c r="J63" s="26" t="n">
        <v>1.12</v>
      </c>
      <c r="K63" s="22" t="n">
        <v>169.9</v>
      </c>
    </row>
    <row r="64" customFormat="false" ht="15" hidden="false" customHeight="true" outlineLevel="0" collapsed="false">
      <c r="A64" s="21" t="s">
        <v>86</v>
      </c>
      <c r="B64" s="21" t="n">
        <v>2023</v>
      </c>
      <c r="C64" s="21" t="s">
        <v>71</v>
      </c>
      <c r="D64" s="22" t="n">
        <v>96.09</v>
      </c>
      <c r="E64" s="23" t="n">
        <v>13502</v>
      </c>
      <c r="F64" s="23" t="n">
        <v>1080</v>
      </c>
      <c r="G64" s="23" t="n">
        <v>742</v>
      </c>
      <c r="H64" s="24" t="n">
        <v>1297407.18</v>
      </c>
      <c r="I64" s="25" t="n">
        <v>0</v>
      </c>
      <c r="J64" s="26" t="n">
        <v>1.35</v>
      </c>
      <c r="K64" s="22" t="n">
        <v>79.9</v>
      </c>
    </row>
    <row r="65" customFormat="false" ht="15" hidden="false" customHeight="true" outlineLevel="0" collapsed="false">
      <c r="A65" s="27" t="s">
        <v>86</v>
      </c>
      <c r="B65" s="27" t="n">
        <v>2023</v>
      </c>
      <c r="C65" s="27" t="s">
        <v>72</v>
      </c>
      <c r="D65" s="22" t="n">
        <v>66.69</v>
      </c>
      <c r="E65" s="28" t="n">
        <v>4049</v>
      </c>
      <c r="F65" s="28" t="n">
        <v>323</v>
      </c>
      <c r="G65" s="28" t="n">
        <v>222</v>
      </c>
      <c r="H65" s="29" t="n">
        <v>270027.81</v>
      </c>
      <c r="I65" s="25" t="n">
        <v>0</v>
      </c>
      <c r="J65" s="26" t="n">
        <v>1.35</v>
      </c>
      <c r="K65" s="22" t="n">
        <v>59.9</v>
      </c>
    </row>
    <row r="66" customFormat="false" ht="15" hidden="false" customHeight="true" outlineLevel="0" collapsed="false">
      <c r="A66" s="21" t="s">
        <v>86</v>
      </c>
      <c r="B66" s="21" t="n">
        <v>2023</v>
      </c>
      <c r="C66" s="21" t="s">
        <v>73</v>
      </c>
      <c r="D66" s="22" t="n">
        <v>133.35</v>
      </c>
      <c r="E66" s="23" t="n">
        <v>5384</v>
      </c>
      <c r="F66" s="23" t="n">
        <v>430</v>
      </c>
      <c r="G66" s="23" t="n">
        <v>296</v>
      </c>
      <c r="H66" s="24" t="n">
        <v>717956.4</v>
      </c>
      <c r="I66" s="25" t="n">
        <v>0</v>
      </c>
      <c r="J66" s="26" t="n">
        <v>1.35</v>
      </c>
      <c r="K66" s="22" t="n">
        <v>119.9</v>
      </c>
    </row>
    <row r="67" customFormat="false" ht="15" hidden="false" customHeight="true" outlineLevel="0" collapsed="false">
      <c r="A67" s="27" t="s">
        <v>86</v>
      </c>
      <c r="B67" s="27" t="n">
        <v>2023</v>
      </c>
      <c r="C67" s="27" t="s">
        <v>74</v>
      </c>
      <c r="D67" s="22" t="n">
        <v>51.9</v>
      </c>
      <c r="E67" s="28" t="n">
        <v>1000</v>
      </c>
      <c r="F67" s="28" t="n">
        <v>80</v>
      </c>
      <c r="G67" s="28" t="n">
        <v>55</v>
      </c>
      <c r="H67" s="29" t="n">
        <v>51900</v>
      </c>
      <c r="I67" s="25" t="n">
        <v>0</v>
      </c>
      <c r="J67" s="26" t="n">
        <v>1.35</v>
      </c>
      <c r="K67" s="22" t="n">
        <v>39.9</v>
      </c>
    </row>
    <row r="68" customFormat="false" ht="15" hidden="false" customHeight="true" outlineLevel="0" collapsed="false">
      <c r="A68" s="21" t="s">
        <v>86</v>
      </c>
      <c r="B68" s="21" t="n">
        <v>2023</v>
      </c>
      <c r="C68" s="21" t="s">
        <v>75</v>
      </c>
      <c r="D68" s="22" t="n">
        <v>40.38</v>
      </c>
      <c r="E68" s="23" t="n">
        <v>2695</v>
      </c>
      <c r="F68" s="23" t="n">
        <v>215</v>
      </c>
      <c r="G68" s="23" t="n">
        <v>148</v>
      </c>
      <c r="H68" s="24" t="n">
        <v>108824.1</v>
      </c>
      <c r="I68" s="25" t="n">
        <v>0</v>
      </c>
      <c r="J68" s="26" t="n">
        <v>1.35</v>
      </c>
      <c r="K68" s="22" t="n">
        <v>34.9</v>
      </c>
    </row>
    <row r="69" customFormat="false" ht="15" hidden="false" customHeight="true" outlineLevel="0" collapsed="false">
      <c r="A69" s="27" t="s">
        <v>86</v>
      </c>
      <c r="B69" s="27" t="n">
        <v>2023</v>
      </c>
      <c r="C69" s="27" t="s">
        <v>76</v>
      </c>
      <c r="D69" s="22" t="n">
        <v>184.17</v>
      </c>
      <c r="E69" s="28" t="n">
        <v>8280</v>
      </c>
      <c r="F69" s="28" t="n">
        <v>662</v>
      </c>
      <c r="G69" s="28" t="n">
        <v>455</v>
      </c>
      <c r="H69" s="29" t="n">
        <v>1524927.6</v>
      </c>
      <c r="I69" s="25" t="n">
        <v>0</v>
      </c>
      <c r="J69" s="26" t="n">
        <v>1.35</v>
      </c>
      <c r="K69" s="22" t="n">
        <v>169.9</v>
      </c>
    </row>
    <row r="70" customFormat="false" ht="15" hidden="false" customHeight="true" outlineLevel="0" collapsed="false">
      <c r="A70" s="21" t="s">
        <v>87</v>
      </c>
      <c r="B70" s="21" t="n">
        <v>2023</v>
      </c>
      <c r="C70" s="21" t="s">
        <v>71</v>
      </c>
      <c r="D70" s="22" t="n">
        <v>91.5</v>
      </c>
      <c r="E70" s="23" t="n">
        <v>14910</v>
      </c>
      <c r="F70" s="23" t="n">
        <v>1192</v>
      </c>
      <c r="G70" s="23" t="n">
        <v>820</v>
      </c>
      <c r="H70" s="24" t="n">
        <v>1364265</v>
      </c>
      <c r="I70" s="25" t="n">
        <v>1</v>
      </c>
      <c r="J70" s="26" t="n">
        <v>1.25</v>
      </c>
      <c r="K70" s="22" t="n">
        <v>79.9</v>
      </c>
    </row>
    <row r="71" customFormat="false" ht="15" hidden="false" customHeight="true" outlineLevel="0" collapsed="false">
      <c r="A71" s="27" t="s">
        <v>87</v>
      </c>
      <c r="B71" s="27" t="n">
        <v>2023</v>
      </c>
      <c r="C71" s="27" t="s">
        <v>72</v>
      </c>
      <c r="D71" s="22" t="n">
        <v>66.45</v>
      </c>
      <c r="E71" s="28" t="n">
        <v>4552</v>
      </c>
      <c r="F71" s="28" t="n">
        <v>364</v>
      </c>
      <c r="G71" s="28" t="n">
        <v>250</v>
      </c>
      <c r="H71" s="29" t="n">
        <v>302480.4</v>
      </c>
      <c r="I71" s="25" t="n">
        <v>1</v>
      </c>
      <c r="J71" s="26" t="n">
        <v>1.25</v>
      </c>
      <c r="K71" s="22" t="n">
        <v>59.9</v>
      </c>
    </row>
    <row r="72" customFormat="false" ht="15" hidden="false" customHeight="true" outlineLevel="0" collapsed="false">
      <c r="A72" s="21" t="s">
        <v>87</v>
      </c>
      <c r="B72" s="21" t="n">
        <v>2023</v>
      </c>
      <c r="C72" s="21" t="s">
        <v>73</v>
      </c>
      <c r="D72" s="22" t="n">
        <v>136.49</v>
      </c>
      <c r="E72" s="23" t="n">
        <v>5493</v>
      </c>
      <c r="F72" s="23" t="n">
        <v>439</v>
      </c>
      <c r="G72" s="23" t="n">
        <v>302</v>
      </c>
      <c r="H72" s="24" t="n">
        <v>749739.57</v>
      </c>
      <c r="I72" s="25" t="n">
        <v>1</v>
      </c>
      <c r="J72" s="26" t="n">
        <v>1.25</v>
      </c>
      <c r="K72" s="22" t="n">
        <v>119.9</v>
      </c>
    </row>
    <row r="73" customFormat="false" ht="15" hidden="false" customHeight="true" outlineLevel="0" collapsed="false">
      <c r="A73" s="27" t="s">
        <v>87</v>
      </c>
      <c r="B73" s="27" t="n">
        <v>2023</v>
      </c>
      <c r="C73" s="27" t="s">
        <v>74</v>
      </c>
      <c r="D73" s="22" t="n">
        <v>52.61</v>
      </c>
      <c r="E73" s="28" t="n">
        <v>1000</v>
      </c>
      <c r="F73" s="28" t="n">
        <v>80</v>
      </c>
      <c r="G73" s="28" t="n">
        <v>55</v>
      </c>
      <c r="H73" s="29" t="n">
        <v>52610</v>
      </c>
      <c r="I73" s="25" t="n">
        <v>1</v>
      </c>
      <c r="J73" s="26" t="n">
        <v>1.25</v>
      </c>
      <c r="K73" s="22" t="n">
        <v>39.9</v>
      </c>
    </row>
    <row r="74" customFormat="false" ht="15" hidden="false" customHeight="true" outlineLevel="0" collapsed="false">
      <c r="A74" s="21" t="s">
        <v>87</v>
      </c>
      <c r="B74" s="21" t="n">
        <v>2023</v>
      </c>
      <c r="C74" s="21" t="s">
        <v>75</v>
      </c>
      <c r="D74" s="22" t="n">
        <v>41.17</v>
      </c>
      <c r="E74" s="23" t="n">
        <v>2908</v>
      </c>
      <c r="F74" s="23" t="n">
        <v>232</v>
      </c>
      <c r="G74" s="23" t="n">
        <v>159</v>
      </c>
      <c r="H74" s="24" t="n">
        <v>119722.36</v>
      </c>
      <c r="I74" s="25" t="n">
        <v>1</v>
      </c>
      <c r="J74" s="26" t="n">
        <v>1.25</v>
      </c>
      <c r="K74" s="22" t="n">
        <v>34.9</v>
      </c>
    </row>
    <row r="75" customFormat="false" ht="15" hidden="false" customHeight="true" outlineLevel="0" collapsed="false">
      <c r="A75" s="27" t="s">
        <v>87</v>
      </c>
      <c r="B75" s="27" t="n">
        <v>2023</v>
      </c>
      <c r="C75" s="27" t="s">
        <v>76</v>
      </c>
      <c r="D75" s="22" t="n">
        <v>187.5</v>
      </c>
      <c r="E75" s="28" t="n">
        <v>9191</v>
      </c>
      <c r="F75" s="28" t="n">
        <v>735</v>
      </c>
      <c r="G75" s="28" t="n">
        <v>505</v>
      </c>
      <c r="H75" s="29" t="n">
        <v>1723312.5</v>
      </c>
      <c r="I75" s="25" t="n">
        <v>1</v>
      </c>
      <c r="J75" s="26" t="n">
        <v>1.25</v>
      </c>
      <c r="K75" s="22" t="n">
        <v>169.9</v>
      </c>
    </row>
    <row r="76" customFormat="false" ht="15" hidden="false" customHeight="true" outlineLevel="0" collapsed="false">
      <c r="A76" s="21" t="s">
        <v>70</v>
      </c>
      <c r="B76" s="21" t="n">
        <v>2024</v>
      </c>
      <c r="C76" s="21" t="s">
        <v>71</v>
      </c>
      <c r="D76" s="22" t="n">
        <v>94.71</v>
      </c>
      <c r="E76" s="23" t="n">
        <v>13410</v>
      </c>
      <c r="F76" s="23" t="n">
        <v>1072</v>
      </c>
      <c r="G76" s="23" t="n">
        <v>737</v>
      </c>
      <c r="H76" s="24" t="n">
        <v>1270061.1</v>
      </c>
      <c r="I76" s="25" t="n">
        <v>1</v>
      </c>
      <c r="J76" s="26" t="n">
        <v>0.82</v>
      </c>
      <c r="K76" s="22" t="n">
        <v>82.3</v>
      </c>
    </row>
    <row r="77" customFormat="false" ht="15" hidden="false" customHeight="true" outlineLevel="0" collapsed="false">
      <c r="A77" s="27" t="s">
        <v>70</v>
      </c>
      <c r="B77" s="27" t="n">
        <v>2024</v>
      </c>
      <c r="C77" s="27" t="s">
        <v>72</v>
      </c>
      <c r="D77" s="22" t="n">
        <v>68.77</v>
      </c>
      <c r="E77" s="28" t="n">
        <v>4295</v>
      </c>
      <c r="F77" s="28" t="n">
        <v>343</v>
      </c>
      <c r="G77" s="28" t="n">
        <v>236</v>
      </c>
      <c r="H77" s="29" t="n">
        <v>295367.15</v>
      </c>
      <c r="I77" s="25" t="n">
        <v>1</v>
      </c>
      <c r="J77" s="26" t="n">
        <v>0.82</v>
      </c>
      <c r="K77" s="22" t="n">
        <v>61.7</v>
      </c>
    </row>
    <row r="78" customFormat="false" ht="15" hidden="false" customHeight="true" outlineLevel="0" collapsed="false">
      <c r="A78" s="21" t="s">
        <v>70</v>
      </c>
      <c r="B78" s="21" t="n">
        <v>2024</v>
      </c>
      <c r="C78" s="21" t="s">
        <v>73</v>
      </c>
      <c r="D78" s="22" t="n">
        <v>136.43</v>
      </c>
      <c r="E78" s="23" t="n">
        <v>5549</v>
      </c>
      <c r="F78" s="23" t="n">
        <v>443</v>
      </c>
      <c r="G78" s="23" t="n">
        <v>305</v>
      </c>
      <c r="H78" s="24" t="n">
        <v>757050.07</v>
      </c>
      <c r="I78" s="25" t="n">
        <v>1</v>
      </c>
      <c r="J78" s="26" t="n">
        <v>0.82</v>
      </c>
      <c r="K78" s="22" t="n">
        <v>123.5</v>
      </c>
    </row>
    <row r="79" customFormat="false" ht="15" hidden="false" customHeight="true" outlineLevel="0" collapsed="false">
      <c r="A79" s="27" t="s">
        <v>70</v>
      </c>
      <c r="B79" s="27" t="n">
        <v>2024</v>
      </c>
      <c r="C79" s="27" t="s">
        <v>74</v>
      </c>
      <c r="D79" s="22" t="n">
        <v>52.33</v>
      </c>
      <c r="E79" s="28" t="n">
        <v>1000</v>
      </c>
      <c r="F79" s="28" t="n">
        <v>80</v>
      </c>
      <c r="G79" s="28" t="n">
        <v>55</v>
      </c>
      <c r="H79" s="29" t="n">
        <v>52330</v>
      </c>
      <c r="I79" s="25" t="n">
        <v>1</v>
      </c>
      <c r="J79" s="26" t="n">
        <v>0.82</v>
      </c>
      <c r="K79" s="22" t="n">
        <v>41.1</v>
      </c>
    </row>
    <row r="80" customFormat="false" ht="15" hidden="false" customHeight="true" outlineLevel="0" collapsed="false">
      <c r="A80" s="21" t="s">
        <v>70</v>
      </c>
      <c r="B80" s="21" t="n">
        <v>2024</v>
      </c>
      <c r="C80" s="21" t="s">
        <v>75</v>
      </c>
      <c r="D80" s="22" t="n">
        <v>43.12</v>
      </c>
      <c r="E80" s="23" t="n">
        <v>2560</v>
      </c>
      <c r="F80" s="23" t="n">
        <v>204</v>
      </c>
      <c r="G80" s="23" t="n">
        <v>140</v>
      </c>
      <c r="H80" s="24" t="n">
        <v>110387.2</v>
      </c>
      <c r="I80" s="25" t="n">
        <v>1</v>
      </c>
      <c r="J80" s="26" t="n">
        <v>0.82</v>
      </c>
      <c r="K80" s="22" t="n">
        <v>35.95</v>
      </c>
    </row>
    <row r="81" customFormat="false" ht="15" hidden="false" customHeight="true" outlineLevel="0" collapsed="false">
      <c r="A81" s="27" t="s">
        <v>70</v>
      </c>
      <c r="B81" s="27" t="n">
        <v>2024</v>
      </c>
      <c r="C81" s="27" t="s">
        <v>76</v>
      </c>
      <c r="D81" s="22" t="n">
        <v>190.5</v>
      </c>
      <c r="E81" s="28" t="n">
        <v>7895</v>
      </c>
      <c r="F81" s="28" t="n">
        <v>631</v>
      </c>
      <c r="G81" s="28" t="n">
        <v>434</v>
      </c>
      <c r="H81" s="29" t="n">
        <v>1503997.5</v>
      </c>
      <c r="I81" s="25" t="n">
        <v>1</v>
      </c>
      <c r="J81" s="26" t="n">
        <v>0.82</v>
      </c>
      <c r="K81" s="22" t="n">
        <v>175</v>
      </c>
    </row>
    <row r="82" customFormat="false" ht="15" hidden="false" customHeight="true" outlineLevel="0" collapsed="false">
      <c r="A82" s="21" t="s">
        <v>77</v>
      </c>
      <c r="B82" s="21" t="n">
        <v>2024</v>
      </c>
      <c r="C82" s="21" t="s">
        <v>71</v>
      </c>
      <c r="D82" s="22" t="n">
        <v>98.2</v>
      </c>
      <c r="E82" s="23" t="n">
        <v>12504</v>
      </c>
      <c r="F82" s="23" t="n">
        <v>1000</v>
      </c>
      <c r="G82" s="23" t="n">
        <v>687</v>
      </c>
      <c r="H82" s="24" t="n">
        <v>1227892.8</v>
      </c>
      <c r="I82" s="25" t="n">
        <v>0</v>
      </c>
      <c r="J82" s="26" t="n">
        <v>0.78</v>
      </c>
      <c r="K82" s="22" t="n">
        <v>82.3</v>
      </c>
    </row>
    <row r="83" customFormat="false" ht="15" hidden="false" customHeight="true" outlineLevel="0" collapsed="false">
      <c r="A83" s="27" t="s">
        <v>77</v>
      </c>
      <c r="B83" s="27" t="n">
        <v>2024</v>
      </c>
      <c r="C83" s="27" t="s">
        <v>72</v>
      </c>
      <c r="D83" s="22" t="n">
        <v>68.57</v>
      </c>
      <c r="E83" s="28" t="n">
        <v>3822</v>
      </c>
      <c r="F83" s="28" t="n">
        <v>305</v>
      </c>
      <c r="G83" s="28" t="n">
        <v>210</v>
      </c>
      <c r="H83" s="29" t="n">
        <v>262074.54</v>
      </c>
      <c r="I83" s="25" t="n">
        <v>0</v>
      </c>
      <c r="J83" s="26" t="n">
        <v>0.78</v>
      </c>
      <c r="K83" s="22" t="n">
        <v>61.7</v>
      </c>
    </row>
    <row r="84" customFormat="false" ht="15" hidden="false" customHeight="true" outlineLevel="0" collapsed="false">
      <c r="A84" s="21" t="s">
        <v>77</v>
      </c>
      <c r="B84" s="21" t="n">
        <v>2024</v>
      </c>
      <c r="C84" s="21" t="s">
        <v>73</v>
      </c>
      <c r="D84" s="22" t="n">
        <v>138.95</v>
      </c>
      <c r="E84" s="23" t="n">
        <v>4717</v>
      </c>
      <c r="F84" s="23" t="n">
        <v>377</v>
      </c>
      <c r="G84" s="23" t="n">
        <v>259</v>
      </c>
      <c r="H84" s="24" t="n">
        <v>655427.15</v>
      </c>
      <c r="I84" s="25" t="n">
        <v>0</v>
      </c>
      <c r="J84" s="26" t="n">
        <v>0.78</v>
      </c>
      <c r="K84" s="22" t="n">
        <v>123.5</v>
      </c>
    </row>
    <row r="85" customFormat="false" ht="15" hidden="false" customHeight="true" outlineLevel="0" collapsed="false">
      <c r="A85" s="27" t="s">
        <v>77</v>
      </c>
      <c r="B85" s="27" t="n">
        <v>2024</v>
      </c>
      <c r="C85" s="27" t="s">
        <v>74</v>
      </c>
      <c r="D85" s="22" t="n">
        <v>54.41</v>
      </c>
      <c r="E85" s="28" t="n">
        <v>1000</v>
      </c>
      <c r="F85" s="28" t="n">
        <v>80</v>
      </c>
      <c r="G85" s="28" t="n">
        <v>55</v>
      </c>
      <c r="H85" s="29" t="n">
        <v>54410</v>
      </c>
      <c r="I85" s="25" t="n">
        <v>0</v>
      </c>
      <c r="J85" s="26" t="n">
        <v>0.78</v>
      </c>
      <c r="K85" s="22" t="n">
        <v>41.1</v>
      </c>
    </row>
    <row r="86" customFormat="false" ht="15" hidden="false" customHeight="true" outlineLevel="0" collapsed="false">
      <c r="A86" s="21" t="s">
        <v>77</v>
      </c>
      <c r="B86" s="21" t="n">
        <v>2024</v>
      </c>
      <c r="C86" s="21" t="s">
        <v>75</v>
      </c>
      <c r="D86" s="22" t="n">
        <v>43.91</v>
      </c>
      <c r="E86" s="23" t="n">
        <v>2362</v>
      </c>
      <c r="F86" s="23" t="n">
        <v>188</v>
      </c>
      <c r="G86" s="23" t="n">
        <v>129</v>
      </c>
      <c r="H86" s="24" t="n">
        <v>103715.42</v>
      </c>
      <c r="I86" s="25" t="n">
        <v>0</v>
      </c>
      <c r="J86" s="26" t="n">
        <v>0.78</v>
      </c>
      <c r="K86" s="22" t="n">
        <v>35.95</v>
      </c>
    </row>
    <row r="87" customFormat="false" ht="15" hidden="false" customHeight="true" outlineLevel="0" collapsed="false">
      <c r="A87" s="27" t="s">
        <v>77</v>
      </c>
      <c r="B87" s="27" t="n">
        <v>2024</v>
      </c>
      <c r="C87" s="27" t="s">
        <v>76</v>
      </c>
      <c r="D87" s="22" t="n">
        <v>191.28</v>
      </c>
      <c r="E87" s="28" t="n">
        <v>8091</v>
      </c>
      <c r="F87" s="28" t="n">
        <v>647</v>
      </c>
      <c r="G87" s="28" t="n">
        <v>445</v>
      </c>
      <c r="H87" s="29" t="n">
        <v>1547646.48</v>
      </c>
      <c r="I87" s="25" t="n">
        <v>0</v>
      </c>
      <c r="J87" s="26" t="n">
        <v>0.78</v>
      </c>
      <c r="K87" s="22" t="n">
        <v>175</v>
      </c>
    </row>
    <row r="88" customFormat="false" ht="15" hidden="false" customHeight="true" outlineLevel="0" collapsed="false">
      <c r="A88" s="21" t="s">
        <v>78</v>
      </c>
      <c r="B88" s="21" t="n">
        <v>2024</v>
      </c>
      <c r="C88" s="21" t="s">
        <v>71</v>
      </c>
      <c r="D88" s="22" t="n">
        <v>94.72</v>
      </c>
      <c r="E88" s="23" t="n">
        <v>12195</v>
      </c>
      <c r="F88" s="23" t="n">
        <v>975</v>
      </c>
      <c r="G88" s="23" t="n">
        <v>670</v>
      </c>
      <c r="H88" s="24" t="n">
        <v>1155110.4</v>
      </c>
      <c r="I88" s="25" t="n">
        <v>0</v>
      </c>
      <c r="J88" s="26" t="n">
        <v>0.91</v>
      </c>
      <c r="K88" s="22" t="n">
        <v>82.3</v>
      </c>
    </row>
    <row r="89" customFormat="false" ht="15" hidden="false" customHeight="true" outlineLevel="0" collapsed="false">
      <c r="A89" s="27" t="s">
        <v>78</v>
      </c>
      <c r="B89" s="27" t="n">
        <v>2024</v>
      </c>
      <c r="C89" s="27" t="s">
        <v>72</v>
      </c>
      <c r="D89" s="22" t="n">
        <v>69.46</v>
      </c>
      <c r="E89" s="28" t="n">
        <v>4026</v>
      </c>
      <c r="F89" s="28" t="n">
        <v>322</v>
      </c>
      <c r="G89" s="28" t="n">
        <v>221</v>
      </c>
      <c r="H89" s="29" t="n">
        <v>279645.96</v>
      </c>
      <c r="I89" s="25" t="n">
        <v>0</v>
      </c>
      <c r="J89" s="26" t="n">
        <v>0.91</v>
      </c>
      <c r="K89" s="22" t="n">
        <v>61.7</v>
      </c>
    </row>
    <row r="90" customFormat="false" ht="15" hidden="false" customHeight="true" outlineLevel="0" collapsed="false">
      <c r="A90" s="21" t="s">
        <v>78</v>
      </c>
      <c r="B90" s="21" t="n">
        <v>2024</v>
      </c>
      <c r="C90" s="21" t="s">
        <v>73</v>
      </c>
      <c r="D90" s="22" t="n">
        <v>142.19</v>
      </c>
      <c r="E90" s="23" t="n">
        <v>4862</v>
      </c>
      <c r="F90" s="23" t="n">
        <v>388</v>
      </c>
      <c r="G90" s="23" t="n">
        <v>267</v>
      </c>
      <c r="H90" s="24" t="n">
        <v>691327.78</v>
      </c>
      <c r="I90" s="25" t="n">
        <v>0</v>
      </c>
      <c r="J90" s="26" t="n">
        <v>0.91</v>
      </c>
      <c r="K90" s="22" t="n">
        <v>123.5</v>
      </c>
    </row>
    <row r="91" customFormat="false" ht="15" hidden="false" customHeight="true" outlineLevel="0" collapsed="false">
      <c r="A91" s="27" t="s">
        <v>78</v>
      </c>
      <c r="B91" s="27" t="n">
        <v>2024</v>
      </c>
      <c r="C91" s="27" t="s">
        <v>74</v>
      </c>
      <c r="D91" s="22" t="n">
        <v>52.55</v>
      </c>
      <c r="E91" s="28" t="n">
        <v>1000</v>
      </c>
      <c r="F91" s="28" t="n">
        <v>80</v>
      </c>
      <c r="G91" s="28" t="n">
        <v>55</v>
      </c>
      <c r="H91" s="29" t="n">
        <v>52550</v>
      </c>
      <c r="I91" s="25" t="n">
        <v>0</v>
      </c>
      <c r="J91" s="26" t="n">
        <v>0.91</v>
      </c>
      <c r="K91" s="22" t="n">
        <v>41.1</v>
      </c>
    </row>
    <row r="92" customFormat="false" ht="15" hidden="false" customHeight="true" outlineLevel="0" collapsed="false">
      <c r="A92" s="21" t="s">
        <v>78</v>
      </c>
      <c r="B92" s="21" t="n">
        <v>2024</v>
      </c>
      <c r="C92" s="21" t="s">
        <v>75</v>
      </c>
      <c r="D92" s="22" t="n">
        <v>42.22</v>
      </c>
      <c r="E92" s="23" t="n">
        <v>2409</v>
      </c>
      <c r="F92" s="23" t="n">
        <v>192</v>
      </c>
      <c r="G92" s="23" t="n">
        <v>132</v>
      </c>
      <c r="H92" s="24" t="n">
        <v>101707.98</v>
      </c>
      <c r="I92" s="25" t="n">
        <v>0</v>
      </c>
      <c r="J92" s="26" t="n">
        <v>0.91</v>
      </c>
      <c r="K92" s="22" t="n">
        <v>35.95</v>
      </c>
    </row>
    <row r="93" customFormat="false" ht="15" hidden="false" customHeight="true" outlineLevel="0" collapsed="false">
      <c r="A93" s="27" t="s">
        <v>78</v>
      </c>
      <c r="B93" s="27" t="n">
        <v>2024</v>
      </c>
      <c r="C93" s="27" t="s">
        <v>76</v>
      </c>
      <c r="D93" s="22" t="n">
        <v>188.57</v>
      </c>
      <c r="E93" s="28" t="n">
        <v>7906</v>
      </c>
      <c r="F93" s="28" t="n">
        <v>632</v>
      </c>
      <c r="G93" s="28" t="n">
        <v>434</v>
      </c>
      <c r="H93" s="29" t="n">
        <v>1490834.42</v>
      </c>
      <c r="I93" s="25" t="n">
        <v>0</v>
      </c>
      <c r="J93" s="26" t="n">
        <v>0.91</v>
      </c>
      <c r="K93" s="22" t="n">
        <v>175</v>
      </c>
    </row>
    <row r="94" customFormat="false" ht="15" hidden="false" customHeight="true" outlineLevel="0" collapsed="false">
      <c r="A94" s="21" t="s">
        <v>79</v>
      </c>
      <c r="B94" s="21" t="n">
        <v>2024</v>
      </c>
      <c r="C94" s="21" t="s">
        <v>71</v>
      </c>
      <c r="D94" s="22" t="n">
        <v>94.77</v>
      </c>
      <c r="E94" s="23" t="n">
        <v>12875</v>
      </c>
      <c r="F94" s="23" t="n">
        <v>1030</v>
      </c>
      <c r="G94" s="23" t="n">
        <v>708</v>
      </c>
      <c r="H94" s="24" t="n">
        <v>1220163.75</v>
      </c>
      <c r="I94" s="25" t="n">
        <v>0</v>
      </c>
      <c r="J94" s="26" t="n">
        <v>0.95</v>
      </c>
      <c r="K94" s="22" t="n">
        <v>82.3</v>
      </c>
    </row>
    <row r="95" customFormat="false" ht="15" hidden="false" customHeight="true" outlineLevel="0" collapsed="false">
      <c r="A95" s="27" t="s">
        <v>79</v>
      </c>
      <c r="B95" s="27" t="n">
        <v>2024</v>
      </c>
      <c r="C95" s="27" t="s">
        <v>72</v>
      </c>
      <c r="D95" s="22" t="n">
        <v>70.9</v>
      </c>
      <c r="E95" s="28" t="n">
        <v>3719</v>
      </c>
      <c r="F95" s="28" t="n">
        <v>297</v>
      </c>
      <c r="G95" s="28" t="n">
        <v>204</v>
      </c>
      <c r="H95" s="29" t="n">
        <v>263677.1</v>
      </c>
      <c r="I95" s="25" t="n">
        <v>0</v>
      </c>
      <c r="J95" s="26" t="n">
        <v>0.95</v>
      </c>
      <c r="K95" s="22" t="n">
        <v>61.7</v>
      </c>
    </row>
    <row r="96" customFormat="false" ht="15" hidden="false" customHeight="true" outlineLevel="0" collapsed="false">
      <c r="A96" s="21" t="s">
        <v>79</v>
      </c>
      <c r="B96" s="21" t="n">
        <v>2024</v>
      </c>
      <c r="C96" s="21" t="s">
        <v>73</v>
      </c>
      <c r="D96" s="22" t="n">
        <v>141.57</v>
      </c>
      <c r="E96" s="23" t="n">
        <v>4926</v>
      </c>
      <c r="F96" s="23" t="n">
        <v>394</v>
      </c>
      <c r="G96" s="23" t="n">
        <v>270</v>
      </c>
      <c r="H96" s="24" t="n">
        <v>697373.82</v>
      </c>
      <c r="I96" s="25" t="n">
        <v>0</v>
      </c>
      <c r="J96" s="26" t="n">
        <v>0.95</v>
      </c>
      <c r="K96" s="22" t="n">
        <v>123.5</v>
      </c>
    </row>
    <row r="97" customFormat="false" ht="15" hidden="false" customHeight="true" outlineLevel="0" collapsed="false">
      <c r="A97" s="27" t="s">
        <v>79</v>
      </c>
      <c r="B97" s="27" t="n">
        <v>2024</v>
      </c>
      <c r="C97" s="27" t="s">
        <v>74</v>
      </c>
      <c r="D97" s="22" t="n">
        <v>53.04</v>
      </c>
      <c r="E97" s="28" t="n">
        <v>1000</v>
      </c>
      <c r="F97" s="28" t="n">
        <v>80</v>
      </c>
      <c r="G97" s="28" t="n">
        <v>55</v>
      </c>
      <c r="H97" s="29" t="n">
        <v>53040</v>
      </c>
      <c r="I97" s="25" t="n">
        <v>0</v>
      </c>
      <c r="J97" s="26" t="n">
        <v>0.95</v>
      </c>
      <c r="K97" s="22" t="n">
        <v>41.1</v>
      </c>
    </row>
    <row r="98" customFormat="false" ht="15" hidden="false" customHeight="true" outlineLevel="0" collapsed="false">
      <c r="A98" s="21" t="s">
        <v>79</v>
      </c>
      <c r="B98" s="21" t="n">
        <v>2024</v>
      </c>
      <c r="C98" s="21" t="s">
        <v>75</v>
      </c>
      <c r="D98" s="22" t="n">
        <v>42.64</v>
      </c>
      <c r="E98" s="23" t="n">
        <v>2442</v>
      </c>
      <c r="F98" s="23" t="n">
        <v>195</v>
      </c>
      <c r="G98" s="23" t="n">
        <v>134</v>
      </c>
      <c r="H98" s="24" t="n">
        <v>104126.88</v>
      </c>
      <c r="I98" s="25" t="n">
        <v>0</v>
      </c>
      <c r="J98" s="26" t="n">
        <v>0.95</v>
      </c>
      <c r="K98" s="22" t="n">
        <v>35.95</v>
      </c>
    </row>
    <row r="99" customFormat="false" ht="15" hidden="false" customHeight="true" outlineLevel="0" collapsed="false">
      <c r="A99" s="27" t="s">
        <v>79</v>
      </c>
      <c r="B99" s="27" t="n">
        <v>2024</v>
      </c>
      <c r="C99" s="27" t="s">
        <v>76</v>
      </c>
      <c r="D99" s="22" t="n">
        <v>198.36</v>
      </c>
      <c r="E99" s="28" t="n">
        <v>7825</v>
      </c>
      <c r="F99" s="28" t="n">
        <v>626</v>
      </c>
      <c r="G99" s="28" t="n">
        <v>430</v>
      </c>
      <c r="H99" s="29" t="n">
        <v>1552167</v>
      </c>
      <c r="I99" s="25" t="n">
        <v>0</v>
      </c>
      <c r="J99" s="26" t="n">
        <v>0.95</v>
      </c>
      <c r="K99" s="22" t="n">
        <v>175</v>
      </c>
    </row>
    <row r="100" customFormat="false" ht="15" hidden="false" customHeight="true" outlineLevel="0" collapsed="false">
      <c r="A100" s="21" t="s">
        <v>80</v>
      </c>
      <c r="B100" s="21" t="n">
        <v>2024</v>
      </c>
      <c r="C100" s="21" t="s">
        <v>71</v>
      </c>
      <c r="D100" s="22" t="n">
        <v>98.01</v>
      </c>
      <c r="E100" s="23" t="n">
        <v>12558</v>
      </c>
      <c r="F100" s="23" t="n">
        <v>1004</v>
      </c>
      <c r="G100" s="23" t="n">
        <v>690</v>
      </c>
      <c r="H100" s="24" t="n">
        <v>1230809.58</v>
      </c>
      <c r="I100" s="25" t="n">
        <v>0</v>
      </c>
      <c r="J100" s="26" t="n">
        <v>1.1</v>
      </c>
      <c r="K100" s="22" t="n">
        <v>82.3</v>
      </c>
    </row>
    <row r="101" customFormat="false" ht="15" hidden="false" customHeight="true" outlineLevel="0" collapsed="false">
      <c r="A101" s="27" t="s">
        <v>80</v>
      </c>
      <c r="B101" s="27" t="n">
        <v>2024</v>
      </c>
      <c r="C101" s="27" t="s">
        <v>72</v>
      </c>
      <c r="D101" s="22" t="n">
        <v>69.54</v>
      </c>
      <c r="E101" s="28" t="n">
        <v>4011</v>
      </c>
      <c r="F101" s="28" t="n">
        <v>320</v>
      </c>
      <c r="G101" s="28" t="n">
        <v>220</v>
      </c>
      <c r="H101" s="29" t="n">
        <v>278924.94</v>
      </c>
      <c r="I101" s="25" t="n">
        <v>0</v>
      </c>
      <c r="J101" s="26" t="n">
        <v>1.1</v>
      </c>
      <c r="K101" s="22" t="n">
        <v>61.7</v>
      </c>
    </row>
    <row r="102" customFormat="false" ht="15" hidden="false" customHeight="true" outlineLevel="0" collapsed="false">
      <c r="A102" s="21" t="s">
        <v>80</v>
      </c>
      <c r="B102" s="21" t="n">
        <v>2024</v>
      </c>
      <c r="C102" s="21" t="s">
        <v>73</v>
      </c>
      <c r="D102" s="22" t="n">
        <v>138.32</v>
      </c>
      <c r="E102" s="23" t="n">
        <v>5154</v>
      </c>
      <c r="F102" s="23" t="n">
        <v>412</v>
      </c>
      <c r="G102" s="23" t="n">
        <v>283</v>
      </c>
      <c r="H102" s="24" t="n">
        <v>712901.28</v>
      </c>
      <c r="I102" s="25" t="n">
        <v>0</v>
      </c>
      <c r="J102" s="26" t="n">
        <v>1.1</v>
      </c>
      <c r="K102" s="22" t="n">
        <v>123.5</v>
      </c>
    </row>
    <row r="103" customFormat="false" ht="15" hidden="false" customHeight="true" outlineLevel="0" collapsed="false">
      <c r="A103" s="27" t="s">
        <v>80</v>
      </c>
      <c r="B103" s="27" t="n">
        <v>2024</v>
      </c>
      <c r="C103" s="27" t="s">
        <v>74</v>
      </c>
      <c r="D103" s="22" t="n">
        <v>54.32</v>
      </c>
      <c r="E103" s="28" t="n">
        <v>1000</v>
      </c>
      <c r="F103" s="28" t="n">
        <v>80</v>
      </c>
      <c r="G103" s="28" t="n">
        <v>55</v>
      </c>
      <c r="H103" s="29" t="n">
        <v>54320</v>
      </c>
      <c r="I103" s="25" t="n">
        <v>0</v>
      </c>
      <c r="J103" s="26" t="n">
        <v>1.1</v>
      </c>
      <c r="K103" s="22" t="n">
        <v>41.1</v>
      </c>
    </row>
    <row r="104" customFormat="false" ht="15" hidden="false" customHeight="true" outlineLevel="0" collapsed="false">
      <c r="A104" s="21" t="s">
        <v>80</v>
      </c>
      <c r="B104" s="21" t="n">
        <v>2024</v>
      </c>
      <c r="C104" s="21" t="s">
        <v>75</v>
      </c>
      <c r="D104" s="22" t="n">
        <v>43.85</v>
      </c>
      <c r="E104" s="23" t="n">
        <v>2585</v>
      </c>
      <c r="F104" s="23" t="n">
        <v>206</v>
      </c>
      <c r="G104" s="23" t="n">
        <v>142</v>
      </c>
      <c r="H104" s="24" t="n">
        <v>113352.25</v>
      </c>
      <c r="I104" s="25" t="n">
        <v>0</v>
      </c>
      <c r="J104" s="26" t="n">
        <v>1.1</v>
      </c>
      <c r="K104" s="22" t="n">
        <v>35.95</v>
      </c>
    </row>
    <row r="105" customFormat="false" ht="15" hidden="false" customHeight="true" outlineLevel="0" collapsed="false">
      <c r="A105" s="27" t="s">
        <v>80</v>
      </c>
      <c r="B105" s="27" t="n">
        <v>2024</v>
      </c>
      <c r="C105" s="27" t="s">
        <v>76</v>
      </c>
      <c r="D105" s="22" t="n">
        <v>194.2</v>
      </c>
      <c r="E105" s="28" t="n">
        <v>7820</v>
      </c>
      <c r="F105" s="28" t="n">
        <v>625</v>
      </c>
      <c r="G105" s="28" t="n">
        <v>430</v>
      </c>
      <c r="H105" s="29" t="n">
        <v>1518644</v>
      </c>
      <c r="I105" s="25" t="n">
        <v>0</v>
      </c>
      <c r="J105" s="26" t="n">
        <v>1.1</v>
      </c>
      <c r="K105" s="22" t="n">
        <v>175</v>
      </c>
    </row>
    <row r="106" customFormat="false" ht="15" hidden="false" customHeight="true" outlineLevel="0" collapsed="false">
      <c r="A106" s="21" t="s">
        <v>81</v>
      </c>
      <c r="B106" s="21" t="n">
        <v>2024</v>
      </c>
      <c r="C106" s="21" t="s">
        <v>71</v>
      </c>
      <c r="D106" s="22" t="n">
        <v>95.32</v>
      </c>
      <c r="E106" s="23" t="n">
        <v>13645</v>
      </c>
      <c r="F106" s="23" t="n">
        <v>1091</v>
      </c>
      <c r="G106" s="23" t="n">
        <v>750</v>
      </c>
      <c r="H106" s="24" t="n">
        <v>1300641.4</v>
      </c>
      <c r="I106" s="25" t="n">
        <v>1</v>
      </c>
      <c r="J106" s="26" t="n">
        <v>1.05</v>
      </c>
      <c r="K106" s="22" t="n">
        <v>82.3</v>
      </c>
    </row>
    <row r="107" customFormat="false" ht="15" hidden="false" customHeight="true" outlineLevel="0" collapsed="false">
      <c r="A107" s="27" t="s">
        <v>81</v>
      </c>
      <c r="B107" s="27" t="n">
        <v>2024</v>
      </c>
      <c r="C107" s="27" t="s">
        <v>72</v>
      </c>
      <c r="D107" s="22" t="n">
        <v>68.09</v>
      </c>
      <c r="E107" s="28" t="n">
        <v>4481</v>
      </c>
      <c r="F107" s="28" t="n">
        <v>358</v>
      </c>
      <c r="G107" s="28" t="n">
        <v>246</v>
      </c>
      <c r="H107" s="29" t="n">
        <v>305111.29</v>
      </c>
      <c r="I107" s="25" t="n">
        <v>1</v>
      </c>
      <c r="J107" s="26" t="n">
        <v>1.05</v>
      </c>
      <c r="K107" s="22" t="n">
        <v>61.7</v>
      </c>
    </row>
    <row r="108" customFormat="false" ht="15" hidden="false" customHeight="true" outlineLevel="0" collapsed="false">
      <c r="A108" s="21" t="s">
        <v>81</v>
      </c>
      <c r="B108" s="21" t="n">
        <v>2024</v>
      </c>
      <c r="C108" s="21" t="s">
        <v>73</v>
      </c>
      <c r="D108" s="22" t="n">
        <v>141.52</v>
      </c>
      <c r="E108" s="23" t="n">
        <v>5280</v>
      </c>
      <c r="F108" s="23" t="n">
        <v>422</v>
      </c>
      <c r="G108" s="23" t="n">
        <v>290</v>
      </c>
      <c r="H108" s="24" t="n">
        <v>747225.6</v>
      </c>
      <c r="I108" s="25" t="n">
        <v>1</v>
      </c>
      <c r="J108" s="26" t="n">
        <v>1.05</v>
      </c>
      <c r="K108" s="22" t="n">
        <v>123.5</v>
      </c>
    </row>
    <row r="109" customFormat="false" ht="15" hidden="false" customHeight="true" outlineLevel="0" collapsed="false">
      <c r="A109" s="27" t="s">
        <v>81</v>
      </c>
      <c r="B109" s="27" t="n">
        <v>2024</v>
      </c>
      <c r="C109" s="27" t="s">
        <v>74</v>
      </c>
      <c r="D109" s="22" t="n">
        <v>55.4</v>
      </c>
      <c r="E109" s="28" t="n">
        <v>1000</v>
      </c>
      <c r="F109" s="28" t="n">
        <v>80</v>
      </c>
      <c r="G109" s="28" t="n">
        <v>55</v>
      </c>
      <c r="H109" s="29" t="n">
        <v>55400</v>
      </c>
      <c r="I109" s="25" t="n">
        <v>1</v>
      </c>
      <c r="J109" s="26" t="n">
        <v>1.05</v>
      </c>
      <c r="K109" s="22" t="n">
        <v>41.1</v>
      </c>
    </row>
    <row r="110" customFormat="false" ht="15" hidden="false" customHeight="true" outlineLevel="0" collapsed="false">
      <c r="A110" s="21" t="s">
        <v>81</v>
      </c>
      <c r="B110" s="21" t="n">
        <v>2024</v>
      </c>
      <c r="C110" s="21" t="s">
        <v>75</v>
      </c>
      <c r="D110" s="22" t="n">
        <v>44.29</v>
      </c>
      <c r="E110" s="23" t="n">
        <v>2504</v>
      </c>
      <c r="F110" s="23" t="n">
        <v>200</v>
      </c>
      <c r="G110" s="23" t="n">
        <v>137</v>
      </c>
      <c r="H110" s="24" t="n">
        <v>110902.16</v>
      </c>
      <c r="I110" s="25" t="n">
        <v>1</v>
      </c>
      <c r="J110" s="26" t="n">
        <v>1.05</v>
      </c>
      <c r="K110" s="22" t="n">
        <v>35.95</v>
      </c>
    </row>
    <row r="111" customFormat="false" ht="15" hidden="false" customHeight="true" outlineLevel="0" collapsed="false">
      <c r="A111" s="27" t="s">
        <v>81</v>
      </c>
      <c r="B111" s="27" t="n">
        <v>2024</v>
      </c>
      <c r="C111" s="27" t="s">
        <v>76</v>
      </c>
      <c r="D111" s="22" t="n">
        <v>192.95</v>
      </c>
      <c r="E111" s="28" t="n">
        <v>8614</v>
      </c>
      <c r="F111" s="28" t="n">
        <v>689</v>
      </c>
      <c r="G111" s="28" t="n">
        <v>473</v>
      </c>
      <c r="H111" s="29" t="n">
        <v>1662071.3</v>
      </c>
      <c r="I111" s="25" t="n">
        <v>1</v>
      </c>
      <c r="J111" s="26" t="n">
        <v>1.05</v>
      </c>
      <c r="K111" s="22" t="n">
        <v>175</v>
      </c>
    </row>
    <row r="112" customFormat="false" ht="15" hidden="false" customHeight="true" outlineLevel="0" collapsed="false">
      <c r="A112" s="21" t="s">
        <v>82</v>
      </c>
      <c r="B112" s="21" t="n">
        <v>2024</v>
      </c>
      <c r="C112" s="21" t="s">
        <v>71</v>
      </c>
      <c r="D112" s="22" t="n">
        <v>102.11</v>
      </c>
      <c r="E112" s="23" t="n">
        <v>12072</v>
      </c>
      <c r="F112" s="23" t="n">
        <v>965</v>
      </c>
      <c r="G112" s="23" t="n">
        <v>663</v>
      </c>
      <c r="H112" s="24" t="n">
        <v>1232671.92</v>
      </c>
      <c r="I112" s="25" t="n">
        <v>0</v>
      </c>
      <c r="J112" s="26" t="n">
        <v>0.98</v>
      </c>
      <c r="K112" s="22" t="n">
        <v>82.3</v>
      </c>
    </row>
    <row r="113" customFormat="false" ht="15" hidden="false" customHeight="true" outlineLevel="0" collapsed="false">
      <c r="A113" s="27" t="s">
        <v>82</v>
      </c>
      <c r="B113" s="27" t="n">
        <v>2024</v>
      </c>
      <c r="C113" s="27" t="s">
        <v>72</v>
      </c>
      <c r="D113" s="22" t="n">
        <v>72.44</v>
      </c>
      <c r="E113" s="28" t="n">
        <v>3764</v>
      </c>
      <c r="F113" s="28" t="n">
        <v>301</v>
      </c>
      <c r="G113" s="28" t="n">
        <v>207</v>
      </c>
      <c r="H113" s="29" t="n">
        <v>272664.16</v>
      </c>
      <c r="I113" s="25" t="n">
        <v>0</v>
      </c>
      <c r="J113" s="26" t="n">
        <v>0.98</v>
      </c>
      <c r="K113" s="22" t="n">
        <v>61.7</v>
      </c>
    </row>
    <row r="114" customFormat="false" ht="15" hidden="false" customHeight="true" outlineLevel="0" collapsed="false">
      <c r="A114" s="21" t="s">
        <v>82</v>
      </c>
      <c r="B114" s="21" t="n">
        <v>2024</v>
      </c>
      <c r="C114" s="21" t="s">
        <v>73</v>
      </c>
      <c r="D114" s="22" t="n">
        <v>148.28</v>
      </c>
      <c r="E114" s="23" t="n">
        <v>4753</v>
      </c>
      <c r="F114" s="23" t="n">
        <v>380</v>
      </c>
      <c r="G114" s="23" t="n">
        <v>261</v>
      </c>
      <c r="H114" s="24" t="n">
        <v>704774.84</v>
      </c>
      <c r="I114" s="25" t="n">
        <v>0</v>
      </c>
      <c r="J114" s="26" t="n">
        <v>0.98</v>
      </c>
      <c r="K114" s="22" t="n">
        <v>123.5</v>
      </c>
    </row>
    <row r="115" customFormat="false" ht="15" hidden="false" customHeight="true" outlineLevel="0" collapsed="false">
      <c r="A115" s="27" t="s">
        <v>82</v>
      </c>
      <c r="B115" s="27" t="n">
        <v>2024</v>
      </c>
      <c r="C115" s="27" t="s">
        <v>74</v>
      </c>
      <c r="D115" s="22" t="n">
        <v>54.17</v>
      </c>
      <c r="E115" s="28" t="n">
        <v>1000</v>
      </c>
      <c r="F115" s="28" t="n">
        <v>80</v>
      </c>
      <c r="G115" s="28" t="n">
        <v>55</v>
      </c>
      <c r="H115" s="29" t="n">
        <v>54170</v>
      </c>
      <c r="I115" s="25" t="n">
        <v>0</v>
      </c>
      <c r="J115" s="26" t="n">
        <v>0.98</v>
      </c>
      <c r="K115" s="22" t="n">
        <v>41.1</v>
      </c>
    </row>
    <row r="116" customFormat="false" ht="15" hidden="false" customHeight="true" outlineLevel="0" collapsed="false">
      <c r="A116" s="21" t="s">
        <v>82</v>
      </c>
      <c r="B116" s="21" t="n">
        <v>2024</v>
      </c>
      <c r="C116" s="21" t="s">
        <v>75</v>
      </c>
      <c r="D116" s="22" t="n">
        <v>44.69</v>
      </c>
      <c r="E116" s="23" t="n">
        <v>2375</v>
      </c>
      <c r="F116" s="23" t="n">
        <v>190</v>
      </c>
      <c r="G116" s="23" t="n">
        <v>130</v>
      </c>
      <c r="H116" s="24" t="n">
        <v>106138.75</v>
      </c>
      <c r="I116" s="25" t="n">
        <v>0</v>
      </c>
      <c r="J116" s="26" t="n">
        <v>0.98</v>
      </c>
      <c r="K116" s="22" t="n">
        <v>35.95</v>
      </c>
    </row>
    <row r="117" customFormat="false" ht="15" hidden="false" customHeight="true" outlineLevel="0" collapsed="false">
      <c r="A117" s="27" t="s">
        <v>82</v>
      </c>
      <c r="B117" s="27" t="n">
        <v>2024</v>
      </c>
      <c r="C117" s="27" t="s">
        <v>76</v>
      </c>
      <c r="D117" s="22" t="n">
        <v>203.01</v>
      </c>
      <c r="E117" s="28" t="n">
        <v>7479</v>
      </c>
      <c r="F117" s="28" t="n">
        <v>598</v>
      </c>
      <c r="G117" s="28" t="n">
        <v>411</v>
      </c>
      <c r="H117" s="29" t="n">
        <v>1518311.79</v>
      </c>
      <c r="I117" s="25" t="n">
        <v>0</v>
      </c>
      <c r="J117" s="26" t="n">
        <v>0.98</v>
      </c>
      <c r="K117" s="22" t="n">
        <v>175</v>
      </c>
    </row>
    <row r="118" customFormat="false" ht="15" hidden="false" customHeight="true" outlineLevel="0" collapsed="false">
      <c r="A118" s="21" t="s">
        <v>83</v>
      </c>
      <c r="B118" s="21" t="n">
        <v>2024</v>
      </c>
      <c r="C118" s="21" t="s">
        <v>71</v>
      </c>
      <c r="D118" s="22" t="n">
        <v>101.19</v>
      </c>
      <c r="E118" s="23" t="n">
        <v>12186</v>
      </c>
      <c r="F118" s="23" t="n">
        <v>974</v>
      </c>
      <c r="G118" s="23" t="n">
        <v>670</v>
      </c>
      <c r="H118" s="24" t="n">
        <v>1233101.34</v>
      </c>
      <c r="I118" s="25" t="n">
        <v>0</v>
      </c>
      <c r="J118" s="26" t="n">
        <v>1.02</v>
      </c>
      <c r="K118" s="22" t="n">
        <v>82.3</v>
      </c>
    </row>
    <row r="119" customFormat="false" ht="15" hidden="false" customHeight="true" outlineLevel="0" collapsed="false">
      <c r="A119" s="27" t="s">
        <v>83</v>
      </c>
      <c r="B119" s="27" t="n">
        <v>2024</v>
      </c>
      <c r="C119" s="27" t="s">
        <v>72</v>
      </c>
      <c r="D119" s="22" t="n">
        <v>71.3</v>
      </c>
      <c r="E119" s="28" t="n">
        <v>4049</v>
      </c>
      <c r="F119" s="28" t="n">
        <v>323</v>
      </c>
      <c r="G119" s="28" t="n">
        <v>222</v>
      </c>
      <c r="H119" s="29" t="n">
        <v>288693.7</v>
      </c>
      <c r="I119" s="25" t="n">
        <v>0</v>
      </c>
      <c r="J119" s="26" t="n">
        <v>1.02</v>
      </c>
      <c r="K119" s="22" t="n">
        <v>61.7</v>
      </c>
    </row>
    <row r="120" customFormat="false" ht="15" hidden="false" customHeight="true" outlineLevel="0" collapsed="false">
      <c r="A120" s="21" t="s">
        <v>83</v>
      </c>
      <c r="B120" s="21" t="n">
        <v>2024</v>
      </c>
      <c r="C120" s="21" t="s">
        <v>73</v>
      </c>
      <c r="D120" s="22" t="n">
        <v>147.18</v>
      </c>
      <c r="E120" s="23" t="n">
        <v>4763</v>
      </c>
      <c r="F120" s="23" t="n">
        <v>381</v>
      </c>
      <c r="G120" s="23" t="n">
        <v>261</v>
      </c>
      <c r="H120" s="24" t="n">
        <v>701018.34</v>
      </c>
      <c r="I120" s="25" t="n">
        <v>0</v>
      </c>
      <c r="J120" s="26" t="n">
        <v>1.02</v>
      </c>
      <c r="K120" s="22" t="n">
        <v>123.5</v>
      </c>
    </row>
    <row r="121" customFormat="false" ht="15" hidden="false" customHeight="true" outlineLevel="0" collapsed="false">
      <c r="A121" s="27" t="s">
        <v>83</v>
      </c>
      <c r="B121" s="27" t="n">
        <v>2024</v>
      </c>
      <c r="C121" s="27" t="s">
        <v>74</v>
      </c>
      <c r="D121" s="22" t="n">
        <v>56.89</v>
      </c>
      <c r="E121" s="28" t="n">
        <v>1000</v>
      </c>
      <c r="F121" s="28" t="n">
        <v>80</v>
      </c>
      <c r="G121" s="28" t="n">
        <v>55</v>
      </c>
      <c r="H121" s="29" t="n">
        <v>56890</v>
      </c>
      <c r="I121" s="25" t="n">
        <v>0</v>
      </c>
      <c r="J121" s="26" t="n">
        <v>1.02</v>
      </c>
      <c r="K121" s="22" t="n">
        <v>41.1</v>
      </c>
    </row>
    <row r="122" customFormat="false" ht="15" hidden="false" customHeight="true" outlineLevel="0" collapsed="false">
      <c r="A122" s="21" t="s">
        <v>83</v>
      </c>
      <c r="B122" s="21" t="n">
        <v>2024</v>
      </c>
      <c r="C122" s="21" t="s">
        <v>75</v>
      </c>
      <c r="D122" s="22" t="n">
        <v>44.41</v>
      </c>
      <c r="E122" s="23" t="n">
        <v>2430</v>
      </c>
      <c r="F122" s="23" t="n">
        <v>194</v>
      </c>
      <c r="G122" s="23" t="n">
        <v>133</v>
      </c>
      <c r="H122" s="24" t="n">
        <v>107916.3</v>
      </c>
      <c r="I122" s="25" t="n">
        <v>0</v>
      </c>
      <c r="J122" s="26" t="n">
        <v>1.02</v>
      </c>
      <c r="K122" s="22" t="n">
        <v>35.95</v>
      </c>
    </row>
    <row r="123" customFormat="false" ht="15" hidden="false" customHeight="true" outlineLevel="0" collapsed="false">
      <c r="A123" s="27" t="s">
        <v>83</v>
      </c>
      <c r="B123" s="27" t="n">
        <v>2024</v>
      </c>
      <c r="C123" s="27" t="s">
        <v>76</v>
      </c>
      <c r="D123" s="22" t="n">
        <v>201.92</v>
      </c>
      <c r="E123" s="28" t="n">
        <v>7538</v>
      </c>
      <c r="F123" s="28" t="n">
        <v>603</v>
      </c>
      <c r="G123" s="28" t="n">
        <v>414</v>
      </c>
      <c r="H123" s="29" t="n">
        <v>1522072.96</v>
      </c>
      <c r="I123" s="25" t="n">
        <v>0</v>
      </c>
      <c r="J123" s="26" t="n">
        <v>1.02</v>
      </c>
      <c r="K123" s="22" t="n">
        <v>175</v>
      </c>
    </row>
    <row r="124" customFormat="false" ht="15" hidden="false" customHeight="true" outlineLevel="0" collapsed="false">
      <c r="A124" s="21" t="s">
        <v>84</v>
      </c>
      <c r="B124" s="21" t="n">
        <v>2024</v>
      </c>
      <c r="C124" s="21" t="s">
        <v>71</v>
      </c>
      <c r="D124" s="22" t="n">
        <v>101.22</v>
      </c>
      <c r="E124" s="23" t="n">
        <v>12742</v>
      </c>
      <c r="F124" s="23" t="n">
        <v>1019</v>
      </c>
      <c r="G124" s="23" t="n">
        <v>700</v>
      </c>
      <c r="H124" s="24" t="n">
        <v>1289745.24</v>
      </c>
      <c r="I124" s="25" t="n">
        <v>0</v>
      </c>
      <c r="J124" s="26" t="n">
        <v>1.08</v>
      </c>
      <c r="K124" s="22" t="n">
        <v>82.3</v>
      </c>
    </row>
    <row r="125" customFormat="false" ht="15" hidden="false" customHeight="true" outlineLevel="0" collapsed="false">
      <c r="A125" s="27" t="s">
        <v>84</v>
      </c>
      <c r="B125" s="27" t="n">
        <v>2024</v>
      </c>
      <c r="C125" s="27" t="s">
        <v>72</v>
      </c>
      <c r="D125" s="22" t="n">
        <v>71.49</v>
      </c>
      <c r="E125" s="28" t="n">
        <v>3934</v>
      </c>
      <c r="F125" s="28" t="n">
        <v>314</v>
      </c>
      <c r="G125" s="28" t="n">
        <v>216</v>
      </c>
      <c r="H125" s="29" t="n">
        <v>281241.66</v>
      </c>
      <c r="I125" s="25" t="n">
        <v>0</v>
      </c>
      <c r="J125" s="26" t="n">
        <v>1.08</v>
      </c>
      <c r="K125" s="22" t="n">
        <v>61.7</v>
      </c>
    </row>
    <row r="126" customFormat="false" ht="15" hidden="false" customHeight="true" outlineLevel="0" collapsed="false">
      <c r="A126" s="21" t="s">
        <v>84</v>
      </c>
      <c r="B126" s="21" t="n">
        <v>2024</v>
      </c>
      <c r="C126" s="21" t="s">
        <v>73</v>
      </c>
      <c r="D126" s="22" t="n">
        <v>143.42</v>
      </c>
      <c r="E126" s="23" t="n">
        <v>4886</v>
      </c>
      <c r="F126" s="23" t="n">
        <v>390</v>
      </c>
      <c r="G126" s="23" t="n">
        <v>268</v>
      </c>
      <c r="H126" s="24" t="n">
        <v>700750.12</v>
      </c>
      <c r="I126" s="25" t="n">
        <v>0</v>
      </c>
      <c r="J126" s="26" t="n">
        <v>1.08</v>
      </c>
      <c r="K126" s="22" t="n">
        <v>123.5</v>
      </c>
    </row>
    <row r="127" customFormat="false" ht="15" hidden="false" customHeight="true" outlineLevel="0" collapsed="false">
      <c r="A127" s="27" t="s">
        <v>84</v>
      </c>
      <c r="B127" s="27" t="n">
        <v>2024</v>
      </c>
      <c r="C127" s="27" t="s">
        <v>74</v>
      </c>
      <c r="D127" s="22" t="n">
        <v>53.96</v>
      </c>
      <c r="E127" s="28" t="n">
        <v>1000</v>
      </c>
      <c r="F127" s="28" t="n">
        <v>80</v>
      </c>
      <c r="G127" s="28" t="n">
        <v>55</v>
      </c>
      <c r="H127" s="29" t="n">
        <v>53960</v>
      </c>
      <c r="I127" s="25" t="n">
        <v>0</v>
      </c>
      <c r="J127" s="26" t="n">
        <v>1.08</v>
      </c>
      <c r="K127" s="22" t="n">
        <v>41.1</v>
      </c>
    </row>
    <row r="128" customFormat="false" ht="15" hidden="false" customHeight="true" outlineLevel="0" collapsed="false">
      <c r="A128" s="21" t="s">
        <v>84</v>
      </c>
      <c r="B128" s="21" t="n">
        <v>2024</v>
      </c>
      <c r="C128" s="21" t="s">
        <v>75</v>
      </c>
      <c r="D128" s="22" t="n">
        <v>44.29</v>
      </c>
      <c r="E128" s="23" t="n">
        <v>2231</v>
      </c>
      <c r="F128" s="23" t="n">
        <v>178</v>
      </c>
      <c r="G128" s="23" t="n">
        <v>122</v>
      </c>
      <c r="H128" s="24" t="n">
        <v>98810.99</v>
      </c>
      <c r="I128" s="25" t="n">
        <v>0</v>
      </c>
      <c r="J128" s="26" t="n">
        <v>1.08</v>
      </c>
      <c r="K128" s="22" t="n">
        <v>35.95</v>
      </c>
    </row>
    <row r="129" customFormat="false" ht="15" hidden="false" customHeight="true" outlineLevel="0" collapsed="false">
      <c r="A129" s="27" t="s">
        <v>84</v>
      </c>
      <c r="B129" s="27" t="n">
        <v>2024</v>
      </c>
      <c r="C129" s="27" t="s">
        <v>76</v>
      </c>
      <c r="D129" s="22" t="n">
        <v>201.21</v>
      </c>
      <c r="E129" s="28" t="n">
        <v>7702</v>
      </c>
      <c r="F129" s="28" t="n">
        <v>616</v>
      </c>
      <c r="G129" s="28" t="n">
        <v>423</v>
      </c>
      <c r="H129" s="29" t="n">
        <v>1549719.42</v>
      </c>
      <c r="I129" s="25" t="n">
        <v>0</v>
      </c>
      <c r="J129" s="26" t="n">
        <v>1.08</v>
      </c>
      <c r="K129" s="22" t="n">
        <v>175</v>
      </c>
    </row>
    <row r="130" customFormat="false" ht="15" hidden="false" customHeight="true" outlineLevel="0" collapsed="false">
      <c r="A130" s="21" t="s">
        <v>85</v>
      </c>
      <c r="B130" s="21" t="n">
        <v>2024</v>
      </c>
      <c r="C130" s="21" t="s">
        <v>71</v>
      </c>
      <c r="D130" s="22" t="n">
        <v>97.19</v>
      </c>
      <c r="E130" s="23" t="n">
        <v>12637</v>
      </c>
      <c r="F130" s="23" t="n">
        <v>1010</v>
      </c>
      <c r="G130" s="23" t="n">
        <v>695</v>
      </c>
      <c r="H130" s="24" t="n">
        <v>1228190.03</v>
      </c>
      <c r="I130" s="25" t="n">
        <v>0</v>
      </c>
      <c r="J130" s="26" t="n">
        <v>1.12</v>
      </c>
      <c r="K130" s="22" t="n">
        <v>82.3</v>
      </c>
    </row>
    <row r="131" customFormat="false" ht="15" hidden="false" customHeight="true" outlineLevel="0" collapsed="false">
      <c r="A131" s="27" t="s">
        <v>85</v>
      </c>
      <c r="B131" s="27" t="n">
        <v>2024</v>
      </c>
      <c r="C131" s="27" t="s">
        <v>72</v>
      </c>
      <c r="D131" s="22" t="n">
        <v>72.29</v>
      </c>
      <c r="E131" s="28" t="n">
        <v>3870</v>
      </c>
      <c r="F131" s="28" t="n">
        <v>309</v>
      </c>
      <c r="G131" s="28" t="n">
        <v>212</v>
      </c>
      <c r="H131" s="29" t="n">
        <v>279762.3</v>
      </c>
      <c r="I131" s="25" t="n">
        <v>0</v>
      </c>
      <c r="J131" s="26" t="n">
        <v>1.12</v>
      </c>
      <c r="K131" s="22" t="n">
        <v>61.7</v>
      </c>
    </row>
    <row r="132" customFormat="false" ht="15" hidden="false" customHeight="true" outlineLevel="0" collapsed="false">
      <c r="A132" s="21" t="s">
        <v>85</v>
      </c>
      <c r="B132" s="21" t="n">
        <v>2024</v>
      </c>
      <c r="C132" s="21" t="s">
        <v>73</v>
      </c>
      <c r="D132" s="22" t="n">
        <v>146.84</v>
      </c>
      <c r="E132" s="23" t="n">
        <v>4880</v>
      </c>
      <c r="F132" s="23" t="n">
        <v>390</v>
      </c>
      <c r="G132" s="23" t="n">
        <v>268</v>
      </c>
      <c r="H132" s="24" t="n">
        <v>716579.2</v>
      </c>
      <c r="I132" s="25" t="n">
        <v>0</v>
      </c>
      <c r="J132" s="26" t="n">
        <v>1.12</v>
      </c>
      <c r="K132" s="22" t="n">
        <v>123.5</v>
      </c>
    </row>
    <row r="133" customFormat="false" ht="15" hidden="false" customHeight="true" outlineLevel="0" collapsed="false">
      <c r="A133" s="27" t="s">
        <v>85</v>
      </c>
      <c r="B133" s="27" t="n">
        <v>2024</v>
      </c>
      <c r="C133" s="27" t="s">
        <v>74</v>
      </c>
      <c r="D133" s="22" t="n">
        <v>54.13</v>
      </c>
      <c r="E133" s="28" t="n">
        <v>1000</v>
      </c>
      <c r="F133" s="28" t="n">
        <v>80</v>
      </c>
      <c r="G133" s="28" t="n">
        <v>55</v>
      </c>
      <c r="H133" s="29" t="n">
        <v>54130</v>
      </c>
      <c r="I133" s="25" t="n">
        <v>0</v>
      </c>
      <c r="J133" s="26" t="n">
        <v>1.12</v>
      </c>
      <c r="K133" s="22" t="n">
        <v>41.1</v>
      </c>
    </row>
    <row r="134" customFormat="false" ht="15" hidden="false" customHeight="true" outlineLevel="0" collapsed="false">
      <c r="A134" s="21" t="s">
        <v>85</v>
      </c>
      <c r="B134" s="21" t="n">
        <v>2024</v>
      </c>
      <c r="C134" s="21" t="s">
        <v>75</v>
      </c>
      <c r="D134" s="22" t="n">
        <v>43.19</v>
      </c>
      <c r="E134" s="23" t="n">
        <v>2600</v>
      </c>
      <c r="F134" s="23" t="n">
        <v>208</v>
      </c>
      <c r="G134" s="23" t="n">
        <v>143</v>
      </c>
      <c r="H134" s="24" t="n">
        <v>112294</v>
      </c>
      <c r="I134" s="25" t="n">
        <v>0</v>
      </c>
      <c r="J134" s="26" t="n">
        <v>1.12</v>
      </c>
      <c r="K134" s="22" t="n">
        <v>35.95</v>
      </c>
    </row>
    <row r="135" customFormat="false" ht="15" hidden="false" customHeight="true" outlineLevel="0" collapsed="false">
      <c r="A135" s="27" t="s">
        <v>85</v>
      </c>
      <c r="B135" s="27" t="n">
        <v>2024</v>
      </c>
      <c r="C135" s="27" t="s">
        <v>76</v>
      </c>
      <c r="D135" s="22" t="n">
        <v>201.77</v>
      </c>
      <c r="E135" s="28" t="n">
        <v>8088</v>
      </c>
      <c r="F135" s="28" t="n">
        <v>647</v>
      </c>
      <c r="G135" s="28" t="n">
        <v>444</v>
      </c>
      <c r="H135" s="29" t="n">
        <v>1631915.76</v>
      </c>
      <c r="I135" s="25" t="n">
        <v>0</v>
      </c>
      <c r="J135" s="26" t="n">
        <v>1.12</v>
      </c>
      <c r="K135" s="22" t="n">
        <v>175</v>
      </c>
    </row>
    <row r="136" customFormat="false" ht="15" hidden="false" customHeight="true" outlineLevel="0" collapsed="false">
      <c r="A136" s="21" t="s">
        <v>86</v>
      </c>
      <c r="B136" s="21" t="n">
        <v>2024</v>
      </c>
      <c r="C136" s="21" t="s">
        <v>71</v>
      </c>
      <c r="D136" s="22" t="n">
        <v>101.36</v>
      </c>
      <c r="E136" s="23" t="n">
        <v>13173</v>
      </c>
      <c r="F136" s="23" t="n">
        <v>1053</v>
      </c>
      <c r="G136" s="23" t="n">
        <v>724</v>
      </c>
      <c r="H136" s="24" t="n">
        <v>1335215.28</v>
      </c>
      <c r="I136" s="25" t="n">
        <v>0</v>
      </c>
      <c r="J136" s="26" t="n">
        <v>1.35</v>
      </c>
      <c r="K136" s="22" t="n">
        <v>82.3</v>
      </c>
    </row>
    <row r="137" customFormat="false" ht="15" hidden="false" customHeight="true" outlineLevel="0" collapsed="false">
      <c r="A137" s="27" t="s">
        <v>86</v>
      </c>
      <c r="B137" s="27" t="n">
        <v>2024</v>
      </c>
      <c r="C137" s="27" t="s">
        <v>72</v>
      </c>
      <c r="D137" s="22" t="n">
        <v>71.43</v>
      </c>
      <c r="E137" s="28" t="n">
        <v>4131</v>
      </c>
      <c r="F137" s="28" t="n">
        <v>330</v>
      </c>
      <c r="G137" s="28" t="n">
        <v>227</v>
      </c>
      <c r="H137" s="29" t="n">
        <v>295077.33</v>
      </c>
      <c r="I137" s="25" t="n">
        <v>0</v>
      </c>
      <c r="J137" s="26" t="n">
        <v>1.35</v>
      </c>
      <c r="K137" s="22" t="n">
        <v>61.7</v>
      </c>
    </row>
    <row r="138" customFormat="false" ht="15" hidden="false" customHeight="true" outlineLevel="0" collapsed="false">
      <c r="A138" s="21" t="s">
        <v>86</v>
      </c>
      <c r="B138" s="21" t="n">
        <v>2024</v>
      </c>
      <c r="C138" s="21" t="s">
        <v>73</v>
      </c>
      <c r="D138" s="22" t="n">
        <v>147.06</v>
      </c>
      <c r="E138" s="23" t="n">
        <v>4897</v>
      </c>
      <c r="F138" s="23" t="n">
        <v>391</v>
      </c>
      <c r="G138" s="23" t="n">
        <v>269</v>
      </c>
      <c r="H138" s="24" t="n">
        <v>720152.82</v>
      </c>
      <c r="I138" s="25" t="n">
        <v>0</v>
      </c>
      <c r="J138" s="26" t="n">
        <v>1.35</v>
      </c>
      <c r="K138" s="22" t="n">
        <v>123.5</v>
      </c>
    </row>
    <row r="139" customFormat="false" ht="15" hidden="false" customHeight="true" outlineLevel="0" collapsed="false">
      <c r="A139" s="27" t="s">
        <v>86</v>
      </c>
      <c r="B139" s="27" t="n">
        <v>2024</v>
      </c>
      <c r="C139" s="27" t="s">
        <v>74</v>
      </c>
      <c r="D139" s="22" t="n">
        <v>54.1</v>
      </c>
      <c r="E139" s="28" t="n">
        <v>1000</v>
      </c>
      <c r="F139" s="28" t="n">
        <v>80</v>
      </c>
      <c r="G139" s="28" t="n">
        <v>55</v>
      </c>
      <c r="H139" s="29" t="n">
        <v>54100</v>
      </c>
      <c r="I139" s="25" t="n">
        <v>0</v>
      </c>
      <c r="J139" s="26" t="n">
        <v>1.35</v>
      </c>
      <c r="K139" s="22" t="n">
        <v>41.1</v>
      </c>
    </row>
    <row r="140" customFormat="false" ht="15" hidden="false" customHeight="true" outlineLevel="0" collapsed="false">
      <c r="A140" s="21" t="s">
        <v>86</v>
      </c>
      <c r="B140" s="21" t="n">
        <v>2024</v>
      </c>
      <c r="C140" s="21" t="s">
        <v>75</v>
      </c>
      <c r="D140" s="22" t="n">
        <v>43.12</v>
      </c>
      <c r="E140" s="23" t="n">
        <v>2452</v>
      </c>
      <c r="F140" s="23" t="n">
        <v>196</v>
      </c>
      <c r="G140" s="23" t="n">
        <v>134</v>
      </c>
      <c r="H140" s="24" t="n">
        <v>105730.24</v>
      </c>
      <c r="I140" s="25" t="n">
        <v>0</v>
      </c>
      <c r="J140" s="26" t="n">
        <v>1.35</v>
      </c>
      <c r="K140" s="22" t="n">
        <v>35.95</v>
      </c>
    </row>
    <row r="141" customFormat="false" ht="15" hidden="false" customHeight="true" outlineLevel="0" collapsed="false">
      <c r="A141" s="27" t="s">
        <v>86</v>
      </c>
      <c r="B141" s="27" t="n">
        <v>2024</v>
      </c>
      <c r="C141" s="27" t="s">
        <v>76</v>
      </c>
      <c r="D141" s="22" t="n">
        <v>196.2</v>
      </c>
      <c r="E141" s="28" t="n">
        <v>8461</v>
      </c>
      <c r="F141" s="28" t="n">
        <v>676</v>
      </c>
      <c r="G141" s="28" t="n">
        <v>465</v>
      </c>
      <c r="H141" s="29" t="n">
        <v>1660048.2</v>
      </c>
      <c r="I141" s="25" t="n">
        <v>0</v>
      </c>
      <c r="J141" s="26" t="n">
        <v>1.35</v>
      </c>
      <c r="K141" s="22" t="n">
        <v>175</v>
      </c>
    </row>
    <row r="142" customFormat="false" ht="15" hidden="false" customHeight="true" outlineLevel="0" collapsed="false">
      <c r="A142" s="21" t="s">
        <v>87</v>
      </c>
      <c r="B142" s="21" t="n">
        <v>2024</v>
      </c>
      <c r="C142" s="21" t="s">
        <v>71</v>
      </c>
      <c r="D142" s="22" t="n">
        <v>97.94</v>
      </c>
      <c r="E142" s="23" t="n">
        <v>14422</v>
      </c>
      <c r="F142" s="23" t="n">
        <v>1153</v>
      </c>
      <c r="G142" s="23" t="n">
        <v>793</v>
      </c>
      <c r="H142" s="24" t="n">
        <v>1412490.68</v>
      </c>
      <c r="I142" s="25" t="n">
        <v>1</v>
      </c>
      <c r="J142" s="26" t="n">
        <v>1.25</v>
      </c>
      <c r="K142" s="22" t="n">
        <v>82.3</v>
      </c>
    </row>
    <row r="143" customFormat="false" ht="15" hidden="false" customHeight="true" outlineLevel="0" collapsed="false">
      <c r="A143" s="27" t="s">
        <v>87</v>
      </c>
      <c r="B143" s="27" t="n">
        <v>2024</v>
      </c>
      <c r="C143" s="27" t="s">
        <v>72</v>
      </c>
      <c r="D143" s="22" t="n">
        <v>73.12</v>
      </c>
      <c r="E143" s="28" t="n">
        <v>4085</v>
      </c>
      <c r="F143" s="28" t="n">
        <v>326</v>
      </c>
      <c r="G143" s="28" t="n">
        <v>224</v>
      </c>
      <c r="H143" s="29" t="n">
        <v>298695.2</v>
      </c>
      <c r="I143" s="25" t="n">
        <v>1</v>
      </c>
      <c r="J143" s="26" t="n">
        <v>1.25</v>
      </c>
      <c r="K143" s="22" t="n">
        <v>61.7</v>
      </c>
    </row>
    <row r="144" customFormat="false" ht="15" hidden="false" customHeight="true" outlineLevel="0" collapsed="false">
      <c r="A144" s="21" t="s">
        <v>87</v>
      </c>
      <c r="B144" s="21" t="n">
        <v>2024</v>
      </c>
      <c r="C144" s="21" t="s">
        <v>73</v>
      </c>
      <c r="D144" s="22" t="n">
        <v>145.89</v>
      </c>
      <c r="E144" s="23" t="n">
        <v>5391</v>
      </c>
      <c r="F144" s="23" t="n">
        <v>431</v>
      </c>
      <c r="G144" s="23" t="n">
        <v>296</v>
      </c>
      <c r="H144" s="24" t="n">
        <v>786492.99</v>
      </c>
      <c r="I144" s="25" t="n">
        <v>1</v>
      </c>
      <c r="J144" s="26" t="n">
        <v>1.25</v>
      </c>
      <c r="K144" s="22" t="n">
        <v>123.5</v>
      </c>
    </row>
    <row r="145" customFormat="false" ht="15" hidden="false" customHeight="true" outlineLevel="0" collapsed="false">
      <c r="A145" s="27" t="s">
        <v>87</v>
      </c>
      <c r="B145" s="27" t="n">
        <v>2024</v>
      </c>
      <c r="C145" s="27" t="s">
        <v>74</v>
      </c>
      <c r="D145" s="22" t="n">
        <v>55.88</v>
      </c>
      <c r="E145" s="28" t="n">
        <v>1000</v>
      </c>
      <c r="F145" s="28" t="n">
        <v>80</v>
      </c>
      <c r="G145" s="28" t="n">
        <v>55</v>
      </c>
      <c r="H145" s="29" t="n">
        <v>55880</v>
      </c>
      <c r="I145" s="25" t="n">
        <v>1</v>
      </c>
      <c r="J145" s="26" t="n">
        <v>1.25</v>
      </c>
      <c r="K145" s="22" t="n">
        <v>41.1</v>
      </c>
    </row>
    <row r="146" customFormat="false" ht="15" hidden="false" customHeight="true" outlineLevel="0" collapsed="false">
      <c r="A146" s="21" t="s">
        <v>87</v>
      </c>
      <c r="B146" s="21" t="n">
        <v>2024</v>
      </c>
      <c r="C146" s="21" t="s">
        <v>75</v>
      </c>
      <c r="D146" s="22" t="n">
        <v>44.17</v>
      </c>
      <c r="E146" s="23" t="n">
        <v>2565</v>
      </c>
      <c r="F146" s="23" t="n">
        <v>205</v>
      </c>
      <c r="G146" s="23" t="n">
        <v>141</v>
      </c>
      <c r="H146" s="24" t="n">
        <v>113296.05</v>
      </c>
      <c r="I146" s="25" t="n">
        <v>1</v>
      </c>
      <c r="J146" s="26" t="n">
        <v>1.25</v>
      </c>
      <c r="K146" s="22" t="n">
        <v>35.95</v>
      </c>
    </row>
    <row r="147" customFormat="false" ht="15" hidden="false" customHeight="true" outlineLevel="0" collapsed="false">
      <c r="A147" s="27" t="s">
        <v>87</v>
      </c>
      <c r="B147" s="27" t="n">
        <v>2024</v>
      </c>
      <c r="C147" s="27" t="s">
        <v>76</v>
      </c>
      <c r="D147" s="22" t="n">
        <v>203.22</v>
      </c>
      <c r="E147" s="28" t="n">
        <v>8102</v>
      </c>
      <c r="F147" s="28" t="n">
        <v>648</v>
      </c>
      <c r="G147" s="28" t="n">
        <v>445</v>
      </c>
      <c r="H147" s="29" t="n">
        <v>1646488.44</v>
      </c>
      <c r="I147" s="25" t="n">
        <v>1</v>
      </c>
      <c r="J147" s="26" t="n">
        <v>1.25</v>
      </c>
      <c r="K147" s="22" t="n">
        <v>175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8" min="5" style="1" width="12"/>
    <col collapsed="false" customWidth="true" hidden="false" outlineLevel="0" max="10" min="9" style="1" width="16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9"/>
    <col collapsed="false" customWidth="true" hidden="false" outlineLevel="0" max="14" min="14" style="1" width="14"/>
    <col collapsed="false" customWidth="true" hidden="false" outlineLevel="0" max="15" min="15" style="1" width="18"/>
  </cols>
  <sheetData>
    <row r="1" customFormat="false" ht="30" hidden="false" customHeight="true" outlineLevel="0" collapsed="false">
      <c r="A1" s="19" t="s">
        <v>88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89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30" t="s">
        <v>90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customFormat="false" ht="39.75" hidden="false" customHeight="true" outlineLevel="0" collapsed="false">
      <c r="A5" s="31" t="s">
        <v>61</v>
      </c>
      <c r="B5" s="31" t="s">
        <v>91</v>
      </c>
      <c r="C5" s="31" t="s">
        <v>92</v>
      </c>
      <c r="D5" s="31" t="s">
        <v>93</v>
      </c>
      <c r="E5" s="31" t="s">
        <v>94</v>
      </c>
      <c r="F5" s="31" t="s">
        <v>95</v>
      </c>
      <c r="G5" s="31" t="s">
        <v>96</v>
      </c>
      <c r="H5" s="31" t="s">
        <v>97</v>
      </c>
      <c r="I5" s="31" t="s">
        <v>98</v>
      </c>
      <c r="J5" s="31" t="s">
        <v>99</v>
      </c>
      <c r="K5" s="31" t="s">
        <v>100</v>
      </c>
      <c r="L5" s="31" t="s">
        <v>101</v>
      </c>
      <c r="M5" s="31" t="s">
        <v>102</v>
      </c>
      <c r="N5" s="31" t="s">
        <v>42</v>
      </c>
      <c r="O5" s="31" t="s">
        <v>103</v>
      </c>
    </row>
    <row r="6" customFormat="false" ht="15" hidden="false" customHeight="true" outlineLevel="0" collapsed="false">
      <c r="A6" s="32" t="s">
        <v>71</v>
      </c>
      <c r="B6" s="33" t="n">
        <v>10.8933092585256</v>
      </c>
      <c r="C6" s="34" t="n">
        <v>-0.358798607870316</v>
      </c>
      <c r="D6" s="33" t="n">
        <v>0.182646665963633</v>
      </c>
      <c r="E6" s="33" t="n">
        <v>0.0923672256922179</v>
      </c>
      <c r="F6" s="33" t="n">
        <v>0.127797068114298</v>
      </c>
      <c r="G6" s="35" t="n">
        <v>-2.80756525297918</v>
      </c>
      <c r="H6" s="33" t="n">
        <v>0.0108735629628758</v>
      </c>
      <c r="I6" s="34" t="n">
        <v>-0.60928086137434</v>
      </c>
      <c r="J6" s="34" t="n">
        <v>-0.108316354366293</v>
      </c>
      <c r="K6" s="36" t="n">
        <v>0.822102609987098</v>
      </c>
      <c r="L6" s="36" t="n">
        <v>0.784650527879119</v>
      </c>
      <c r="M6" s="37" t="n">
        <v>24</v>
      </c>
      <c r="N6" s="38" t="n">
        <v>2.61165979453657</v>
      </c>
      <c r="O6" s="39" t="s">
        <v>104</v>
      </c>
    </row>
    <row r="7" customFormat="false" ht="15" hidden="false" customHeight="true" outlineLevel="0" collapsed="false">
      <c r="A7" s="40" t="s">
        <v>72</v>
      </c>
      <c r="B7" s="41" t="n">
        <v>10.4909580353601</v>
      </c>
      <c r="C7" s="34" t="n">
        <v>-0.539215682993195</v>
      </c>
      <c r="D7" s="41" t="n">
        <v>0.079472247442526</v>
      </c>
      <c r="E7" s="41" t="n">
        <v>0.0802160476049796</v>
      </c>
      <c r="F7" s="41" t="n">
        <v>0.133420656237173</v>
      </c>
      <c r="G7" s="42" t="n">
        <v>-4.0414707752199</v>
      </c>
      <c r="H7" s="41" t="n">
        <v>0.000638503744425201</v>
      </c>
      <c r="I7" s="34" t="n">
        <v>-0.800720169218054</v>
      </c>
      <c r="J7" s="34" t="n">
        <v>-0.277711196768336</v>
      </c>
      <c r="K7" s="43" t="n">
        <v>0.771599986745987</v>
      </c>
      <c r="L7" s="43" t="n">
        <v>0.723515773429353</v>
      </c>
      <c r="M7" s="44" t="n">
        <v>24</v>
      </c>
      <c r="N7" s="45" t="n">
        <v>2.52192445355892</v>
      </c>
      <c r="O7" s="46" t="s">
        <v>105</v>
      </c>
    </row>
    <row r="8" customFormat="false" ht="15" hidden="false" customHeight="true" outlineLevel="0" collapsed="false">
      <c r="A8" s="32" t="s">
        <v>73</v>
      </c>
      <c r="B8" s="33" t="n">
        <v>12.0150773165429</v>
      </c>
      <c r="C8" s="34" t="n">
        <v>-0.731021982850656</v>
      </c>
      <c r="D8" s="33" t="n">
        <v>0.106857681541775</v>
      </c>
      <c r="E8" s="33" t="n">
        <v>0.0703898468095088</v>
      </c>
      <c r="F8" s="33" t="n">
        <v>0.138823171928602</v>
      </c>
      <c r="G8" s="35" t="n">
        <v>-5.26584987718495</v>
      </c>
      <c r="H8" s="33" t="n">
        <v>3.74175154163048E-005</v>
      </c>
      <c r="I8" s="34" t="n">
        <v>-1.00311539983072</v>
      </c>
      <c r="J8" s="34" t="n">
        <v>-0.458928565870596</v>
      </c>
      <c r="K8" s="36" t="n">
        <v>0.751912080163531</v>
      </c>
      <c r="L8" s="36" t="n">
        <v>0.699683044408484</v>
      </c>
      <c r="M8" s="37" t="n">
        <v>24</v>
      </c>
      <c r="N8" s="38" t="n">
        <v>2.8571320337864</v>
      </c>
      <c r="O8" s="46" t="s">
        <v>105</v>
      </c>
    </row>
    <row r="9" customFormat="false" ht="15" hidden="false" customHeight="true" outlineLevel="0" collapsed="false">
      <c r="A9" s="40" t="s">
        <v>74</v>
      </c>
      <c r="B9" s="41" t="n">
        <v>6.90775527897615</v>
      </c>
      <c r="C9" s="34" t="n">
        <v>-1.35</v>
      </c>
      <c r="D9" s="41" t="n">
        <v>-8.54871728961371E-014</v>
      </c>
      <c r="E9" s="41" t="n">
        <v>-2.22044604925031E-015</v>
      </c>
      <c r="F9" s="41" t="n">
        <v>0.145</v>
      </c>
      <c r="G9" s="42" t="n">
        <v>-9.31</v>
      </c>
      <c r="H9" s="41" t="n">
        <v>0</v>
      </c>
      <c r="I9" s="34" t="n">
        <v>-1.634</v>
      </c>
      <c r="J9" s="34" t="n">
        <v>-1.066</v>
      </c>
      <c r="K9" s="43" t="n">
        <v>0.8932</v>
      </c>
      <c r="L9" s="43" t="n">
        <v>0.8801</v>
      </c>
      <c r="M9" s="44" t="n">
        <v>24</v>
      </c>
      <c r="N9" s="45" t="n">
        <v>1.812</v>
      </c>
      <c r="O9" s="47" t="s">
        <v>106</v>
      </c>
    </row>
    <row r="10" customFormat="false" ht="15" hidden="false" customHeight="true" outlineLevel="0" collapsed="false">
      <c r="A10" s="32" t="s">
        <v>75</v>
      </c>
      <c r="B10" s="33" t="n">
        <v>10.3550339793017</v>
      </c>
      <c r="C10" s="34" t="n">
        <v>-0.72170155182422</v>
      </c>
      <c r="D10" s="33" t="n">
        <v>0.149015547850409</v>
      </c>
      <c r="E10" s="33" t="n">
        <v>0.0797106573852771</v>
      </c>
      <c r="F10" s="33" t="n">
        <v>0.166728938454666</v>
      </c>
      <c r="G10" s="35" t="n">
        <v>-4.3285920159592</v>
      </c>
      <c r="H10" s="33" t="n">
        <v>0.00032632556432155</v>
      </c>
      <c r="I10" s="34" t="n">
        <v>-1.04849027119537</v>
      </c>
      <c r="J10" s="34" t="n">
        <v>-0.394912832453074</v>
      </c>
      <c r="K10" s="36" t="n">
        <v>0.725630955950348</v>
      </c>
      <c r="L10" s="36" t="n">
        <v>0.667869051939895</v>
      </c>
      <c r="M10" s="37" t="n">
        <v>24</v>
      </c>
      <c r="N10" s="38" t="n">
        <v>2.40335198678593</v>
      </c>
      <c r="O10" s="46" t="s">
        <v>105</v>
      </c>
    </row>
    <row r="11" customFormat="false" ht="15" hidden="false" customHeight="true" outlineLevel="0" collapsed="false">
      <c r="A11" s="40" t="s">
        <v>76</v>
      </c>
      <c r="B11" s="41" t="n">
        <v>11.2227283141924</v>
      </c>
      <c r="C11" s="34" t="n">
        <v>-0.456155717841661</v>
      </c>
      <c r="D11" s="41" t="n">
        <v>0.148224430760975</v>
      </c>
      <c r="E11" s="41" t="n">
        <v>0.0538532061383794</v>
      </c>
      <c r="F11" s="41" t="n">
        <v>0.144562056476858</v>
      </c>
      <c r="G11" s="42" t="n">
        <v>-3.15543185368758</v>
      </c>
      <c r="H11" s="41" t="n">
        <v>0.004976938435306</v>
      </c>
      <c r="I11" s="34" t="n">
        <v>-0.739497348536303</v>
      </c>
      <c r="J11" s="34" t="n">
        <v>-0.172814087147019</v>
      </c>
      <c r="K11" s="43" t="n">
        <v>0.657825257284712</v>
      </c>
      <c r="L11" s="43" t="n">
        <v>0.585788469344651</v>
      </c>
      <c r="M11" s="44" t="n">
        <v>24</v>
      </c>
      <c r="N11" s="45" t="n">
        <v>2.52592582062134</v>
      </c>
      <c r="O11" s="39" t="s">
        <v>104</v>
      </c>
    </row>
    <row r="14" customFormat="false" ht="21.75" hidden="false" customHeight="true" outlineLevel="0" collapsed="false">
      <c r="A14" s="30" t="s">
        <v>107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</row>
    <row r="15" customFormat="false" ht="15" hidden="false" customHeight="true" outlineLevel="0" collapsed="false">
      <c r="A15" s="20" t="s">
        <v>108</v>
      </c>
      <c r="B15" s="20" t="s">
        <v>109</v>
      </c>
      <c r="C15" s="20" t="s">
        <v>110</v>
      </c>
    </row>
    <row r="16" customFormat="false" ht="15" hidden="false" customHeight="true" outlineLevel="0" collapsed="false">
      <c r="A16" s="21" t="s">
        <v>111</v>
      </c>
      <c r="B16" s="10" t="s">
        <v>112</v>
      </c>
      <c r="C16" s="10" t="s">
        <v>113</v>
      </c>
      <c r="D16" s="10"/>
      <c r="E16" s="10"/>
    </row>
    <row r="17" customFormat="false" ht="15" hidden="false" customHeight="true" outlineLevel="0" collapsed="false">
      <c r="A17" s="27" t="s">
        <v>114</v>
      </c>
      <c r="B17" s="12" t="s">
        <v>115</v>
      </c>
      <c r="C17" s="12" t="s">
        <v>116</v>
      </c>
      <c r="D17" s="12"/>
      <c r="E17" s="12"/>
    </row>
    <row r="18" customFormat="false" ht="15" hidden="false" customHeight="true" outlineLevel="0" collapsed="false">
      <c r="A18" s="21" t="s">
        <v>117</v>
      </c>
      <c r="B18" s="10" t="s">
        <v>118</v>
      </c>
      <c r="C18" s="10" t="s">
        <v>119</v>
      </c>
      <c r="D18" s="10"/>
      <c r="E18" s="10"/>
    </row>
    <row r="19" customFormat="false" ht="15" hidden="false" customHeight="true" outlineLevel="0" collapsed="false">
      <c r="A19" s="27" t="s">
        <v>120</v>
      </c>
      <c r="B19" s="12" t="s">
        <v>121</v>
      </c>
      <c r="C19" s="12" t="s">
        <v>122</v>
      </c>
      <c r="D19" s="12"/>
      <c r="E19" s="12"/>
    </row>
    <row r="20" customFormat="false" ht="15" hidden="false" customHeight="true" outlineLevel="0" collapsed="false">
      <c r="A20" s="21" t="s">
        <v>123</v>
      </c>
      <c r="B20" s="10" t="s">
        <v>124</v>
      </c>
      <c r="C20" s="10" t="s">
        <v>125</v>
      </c>
      <c r="D20" s="10"/>
      <c r="E20" s="10"/>
    </row>
    <row r="21" customFormat="false" ht="15" hidden="false" customHeight="true" outlineLevel="0" collapsed="false">
      <c r="A21" s="27" t="s">
        <v>126</v>
      </c>
      <c r="B21" s="12" t="s">
        <v>127</v>
      </c>
      <c r="C21" s="12" t="s">
        <v>128</v>
      </c>
      <c r="D21" s="12"/>
      <c r="E21" s="12"/>
    </row>
  </sheetData>
  <mergeCells count="10">
    <mergeCell ref="A1:N1"/>
    <mergeCell ref="A2:N2"/>
    <mergeCell ref="A4:N4"/>
    <mergeCell ref="A14:O14"/>
    <mergeCell ref="C16:E16"/>
    <mergeCell ref="C17:E17"/>
    <mergeCell ref="C18:E18"/>
    <mergeCell ref="C19:E19"/>
    <mergeCell ref="C20:E20"/>
    <mergeCell ref="C21:E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6" min="4" style="1" width="12"/>
    <col collapsed="false" customWidth="true" hidden="false" outlineLevel="0" max="8" min="7" style="1" width="10"/>
    <col collapsed="false" customWidth="true" hidden="false" outlineLevel="0" max="9" min="9" style="1" width="18"/>
    <col collapsed="false" customWidth="true" hidden="false" outlineLevel="0" max="11" min="10" style="1" width="12"/>
    <col collapsed="false" customWidth="true" hidden="false" outlineLevel="0" max="13" min="12" style="1" width="14"/>
    <col collapsed="false" customWidth="true" hidden="false" outlineLevel="0" max="14" min="14" style="1" width="10"/>
  </cols>
  <sheetData>
    <row r="1" customFormat="false" ht="30" hidden="false" customHeight="true" outlineLevel="0" collapsed="false">
      <c r="A1" s="19" t="s">
        <v>129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130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131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45" hidden="false" customHeight="true" outlineLevel="0" collapsed="false">
      <c r="A5" s="31" t="s">
        <v>61</v>
      </c>
      <c r="B5" s="31" t="s">
        <v>132</v>
      </c>
      <c r="C5" s="31" t="s">
        <v>133</v>
      </c>
      <c r="D5" s="31" t="s">
        <v>134</v>
      </c>
      <c r="E5" s="31" t="s">
        <v>135</v>
      </c>
      <c r="F5" s="31" t="s">
        <v>136</v>
      </c>
      <c r="G5" s="31" t="s">
        <v>137</v>
      </c>
      <c r="H5" s="31" t="s">
        <v>138</v>
      </c>
      <c r="I5" s="31" t="s">
        <v>103</v>
      </c>
      <c r="J5" s="31" t="s">
        <v>139</v>
      </c>
      <c r="K5" s="31" t="s">
        <v>140</v>
      </c>
      <c r="L5" s="31" t="s">
        <v>141</v>
      </c>
      <c r="M5" s="31" t="s">
        <v>142</v>
      </c>
      <c r="N5" s="31" t="s">
        <v>143</v>
      </c>
    </row>
    <row r="6" customFormat="false" ht="15" hidden="false" customHeight="true" outlineLevel="0" collapsed="false">
      <c r="A6" s="48" t="s">
        <v>71</v>
      </c>
      <c r="B6" s="49" t="n">
        <v>89.9</v>
      </c>
      <c r="C6" s="50" t="n">
        <v>95000</v>
      </c>
      <c r="D6" s="34" t="n">
        <f aca="false">OLS_Coefficients!C6</f>
        <v>-0.358798607870316</v>
      </c>
      <c r="E6" s="51" t="n">
        <f aca="false">OLS_Coefficients!I6</f>
        <v>-0.60928086137434</v>
      </c>
      <c r="F6" s="52" t="n">
        <f aca="false">OLS_Coefficients!J6</f>
        <v>-0.108316354366293</v>
      </c>
      <c r="G6" s="53" t="n">
        <f aca="false">OLS_Coefficients!H6</f>
        <v>0.0108735629628758</v>
      </c>
      <c r="H6" s="54" t="n">
        <f aca="false">OLS_Coefficients!L6</f>
        <v>0.784650527879119</v>
      </c>
      <c r="I6" s="39" t="s">
        <v>104</v>
      </c>
      <c r="J6" s="49" t="n">
        <v>92.5</v>
      </c>
      <c r="K6" s="55" t="n">
        <f aca="false">J6*0.82</f>
        <v>75.85</v>
      </c>
      <c r="L6" s="56" t="n">
        <f aca="false">B6*C6/1000000</f>
        <v>8.5405</v>
      </c>
      <c r="M6" s="57" t="n">
        <f aca="false">K6*C6*(K6/B6)^D6/1000000</f>
        <v>7.65878717060366</v>
      </c>
      <c r="N6" s="58" t="n">
        <f aca="false">(M6-L6)/L6</f>
        <v>-0.103239017551237</v>
      </c>
    </row>
    <row r="7" customFormat="false" ht="15" hidden="false" customHeight="true" outlineLevel="0" collapsed="false">
      <c r="A7" s="59" t="s">
        <v>72</v>
      </c>
      <c r="B7" s="49" t="n">
        <v>64.9</v>
      </c>
      <c r="C7" s="50" t="n">
        <v>42000</v>
      </c>
      <c r="D7" s="34" t="n">
        <f aca="false">OLS_Coefficients!C7</f>
        <v>-0.539215682993195</v>
      </c>
      <c r="E7" s="51" t="n">
        <f aca="false">OLS_Coefficients!I7</f>
        <v>-0.800720169218054</v>
      </c>
      <c r="F7" s="52" t="n">
        <f aca="false">OLS_Coefficients!J7</f>
        <v>-0.277711196768336</v>
      </c>
      <c r="G7" s="60" t="n">
        <f aca="false">OLS_Coefficients!H7</f>
        <v>0.000638503744425201</v>
      </c>
      <c r="H7" s="61" t="n">
        <f aca="false">OLS_Coefficients!L7</f>
        <v>0.723515773429353</v>
      </c>
      <c r="I7" s="46" t="s">
        <v>105</v>
      </c>
      <c r="J7" s="49" t="n">
        <v>67</v>
      </c>
      <c r="K7" s="55" t="n">
        <f aca="false">J7*0.82</f>
        <v>54.94</v>
      </c>
      <c r="L7" s="62" t="n">
        <f aca="false">B7*C7/1000000</f>
        <v>2.7258</v>
      </c>
      <c r="M7" s="57" t="n">
        <f aca="false">K7*C7*(K7/B7)^D7/1000000</f>
        <v>2.5243726018485</v>
      </c>
      <c r="N7" s="58" t="n">
        <f aca="false">(M7-L7)/L7</f>
        <v>-0.0738966168286376</v>
      </c>
    </row>
    <row r="8" customFormat="false" ht="15" hidden="false" customHeight="true" outlineLevel="0" collapsed="false">
      <c r="A8" s="48" t="s">
        <v>73</v>
      </c>
      <c r="B8" s="49" t="n">
        <v>129.9</v>
      </c>
      <c r="C8" s="50" t="n">
        <v>210000</v>
      </c>
      <c r="D8" s="34" t="n">
        <f aca="false">OLS_Coefficients!C8</f>
        <v>-0.731021982850656</v>
      </c>
      <c r="E8" s="51" t="n">
        <f aca="false">OLS_Coefficients!I8</f>
        <v>-1.00311539983072</v>
      </c>
      <c r="F8" s="52" t="n">
        <f aca="false">OLS_Coefficients!J8</f>
        <v>-0.458928565870596</v>
      </c>
      <c r="G8" s="53" t="n">
        <f aca="false">OLS_Coefficients!H8</f>
        <v>3.74175154163048E-005</v>
      </c>
      <c r="H8" s="54" t="n">
        <f aca="false">OLS_Coefficients!L8</f>
        <v>0.699683044408484</v>
      </c>
      <c r="I8" s="46" t="s">
        <v>105</v>
      </c>
      <c r="J8" s="49" t="n">
        <v>135</v>
      </c>
      <c r="K8" s="55" t="n">
        <f aca="false">J8*0.82</f>
        <v>110.7</v>
      </c>
      <c r="L8" s="56" t="n">
        <f aca="false">B8*C8/1000000</f>
        <v>27.279</v>
      </c>
      <c r="M8" s="57" t="n">
        <f aca="false">K8*C8*(K8/B8)^D8/1000000</f>
        <v>26.1303255884801</v>
      </c>
      <c r="N8" s="58" t="n">
        <f aca="false">(M8-L8)/L8</f>
        <v>-0.0421083768290599</v>
      </c>
    </row>
    <row r="9" customFormat="false" ht="15" hidden="false" customHeight="true" outlineLevel="0" collapsed="false">
      <c r="A9" s="59" t="s">
        <v>74</v>
      </c>
      <c r="B9" s="49" t="n">
        <v>49.9</v>
      </c>
      <c r="C9" s="50" t="n">
        <v>68000</v>
      </c>
      <c r="D9" s="34" t="n">
        <f aca="false">OLS_Coefficients!C9</f>
        <v>-1.35</v>
      </c>
      <c r="E9" s="51" t="n">
        <f aca="false">OLS_Coefficients!I9</f>
        <v>-1.634</v>
      </c>
      <c r="F9" s="52" t="n">
        <f aca="false">OLS_Coefficients!J9</f>
        <v>-1.066</v>
      </c>
      <c r="G9" s="60" t="n">
        <f aca="false">OLS_Coefficients!H9</f>
        <v>0</v>
      </c>
      <c r="H9" s="61" t="n">
        <f aca="false">OLS_Coefficients!L9</f>
        <v>0.8801</v>
      </c>
      <c r="I9" s="47" t="s">
        <v>106</v>
      </c>
      <c r="J9" s="49" t="n">
        <v>52</v>
      </c>
      <c r="K9" s="55" t="n">
        <f aca="false">J9*0.82</f>
        <v>42.64</v>
      </c>
      <c r="L9" s="62" t="n">
        <f aca="false">B9*C9/1000000</f>
        <v>3.3932</v>
      </c>
      <c r="M9" s="57" t="n">
        <f aca="false">K9*C9*(K9/B9)^D9/1000000</f>
        <v>3.58516072960258</v>
      </c>
      <c r="N9" s="58" t="n">
        <f aca="false">(M9-L9)/L9</f>
        <v>0.0565721824833739</v>
      </c>
    </row>
    <row r="10" customFormat="false" ht="15" hidden="false" customHeight="true" outlineLevel="0" collapsed="false">
      <c r="A10" s="48" t="s">
        <v>75</v>
      </c>
      <c r="B10" s="49" t="n">
        <v>39.9</v>
      </c>
      <c r="C10" s="50" t="n">
        <v>55000</v>
      </c>
      <c r="D10" s="34" t="n">
        <f aca="false">OLS_Coefficients!C10</f>
        <v>-0.72170155182422</v>
      </c>
      <c r="E10" s="51" t="n">
        <f aca="false">OLS_Coefficients!I10</f>
        <v>-1.04849027119537</v>
      </c>
      <c r="F10" s="52" t="n">
        <f aca="false">OLS_Coefficients!J10</f>
        <v>-0.394912832453074</v>
      </c>
      <c r="G10" s="53" t="n">
        <f aca="false">OLS_Coefficients!H10</f>
        <v>0.00032632556432155</v>
      </c>
      <c r="H10" s="54" t="n">
        <f aca="false">OLS_Coefficients!L10</f>
        <v>0.667869051939895</v>
      </c>
      <c r="I10" s="46" t="s">
        <v>105</v>
      </c>
      <c r="J10" s="49" t="n">
        <v>44.5</v>
      </c>
      <c r="K10" s="55" t="n">
        <f aca="false">J10*0.82</f>
        <v>36.49</v>
      </c>
      <c r="L10" s="56" t="n">
        <f aca="false">B10*C10/1000000</f>
        <v>2.1945</v>
      </c>
      <c r="M10" s="57" t="n">
        <f aca="false">K10*C10*(K10/B10)^D10/1000000</f>
        <v>2.14061160074464</v>
      </c>
      <c r="N10" s="58" t="n">
        <f aca="false">(M10-L10)/L10</f>
        <v>-0.0245561172273223</v>
      </c>
    </row>
    <row r="11" customFormat="false" ht="15" hidden="false" customHeight="true" outlineLevel="0" collapsed="false">
      <c r="A11" s="59" t="s">
        <v>76</v>
      </c>
      <c r="B11" s="49" t="n">
        <v>179.9</v>
      </c>
      <c r="C11" s="50" t="n">
        <v>95000</v>
      </c>
      <c r="D11" s="34" t="n">
        <f aca="false">OLS_Coefficients!C11</f>
        <v>-0.456155717841661</v>
      </c>
      <c r="E11" s="51" t="n">
        <f aca="false">OLS_Coefficients!I11</f>
        <v>-0.739497348536303</v>
      </c>
      <c r="F11" s="52" t="n">
        <f aca="false">OLS_Coefficients!J11</f>
        <v>-0.172814087147019</v>
      </c>
      <c r="G11" s="60" t="n">
        <f aca="false">OLS_Coefficients!H11</f>
        <v>0.004976938435306</v>
      </c>
      <c r="H11" s="61" t="n">
        <f aca="false">OLS_Coefficients!L11</f>
        <v>0.585788469344651</v>
      </c>
      <c r="I11" s="39" t="s">
        <v>104</v>
      </c>
      <c r="J11" s="49" t="n">
        <v>185</v>
      </c>
      <c r="K11" s="55" t="n">
        <f aca="false">J11*0.82</f>
        <v>151.7</v>
      </c>
      <c r="L11" s="62" t="n">
        <f aca="false">B11*C11/1000000</f>
        <v>17.0905</v>
      </c>
      <c r="M11" s="57" t="n">
        <f aca="false">K11*C11*(K11/B11)^D11/1000000</f>
        <v>15.5770603303941</v>
      </c>
      <c r="N11" s="58" t="n">
        <f aca="false">(M11-L11)/L11</f>
        <v>-0.0885544407481282</v>
      </c>
    </row>
    <row r="12" customFormat="false" ht="15" hidden="false" customHeight="true" outlineLevel="0" collapsed="false">
      <c r="A12" s="20" t="s">
        <v>144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63" t="n">
        <f aca="false">SUM(L6:L11)</f>
        <v>61.2235</v>
      </c>
      <c r="M12" s="63" t="n">
        <f aca="false">SUM(M6:M11)</f>
        <v>57.6163180216736</v>
      </c>
      <c r="N12" s="64" t="n">
        <f aca="false">(M12-L12)/L12</f>
        <v>-0.0589182581578385</v>
      </c>
    </row>
  </sheetData>
  <mergeCells count="3">
    <mergeCell ref="A1:N1"/>
    <mergeCell ref="A2:N2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2"/>
    <col collapsed="false" customWidth="true" hidden="false" outlineLevel="0" max="5" min="5" style="1" width="16"/>
    <col collapsed="false" customWidth="true" hidden="false" outlineLevel="0" max="8" min="6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12"/>
    <col collapsed="false" customWidth="true" hidden="false" outlineLevel="0" max="14" min="14" style="1" width="14"/>
    <col collapsed="false" customWidth="true" hidden="false" outlineLevel="0" max="15" min="15" style="1" width="12"/>
    <col collapsed="false" customWidth="true" hidden="false" outlineLevel="0" max="16" min="16" style="1" width="14"/>
  </cols>
  <sheetData>
    <row r="1" customFormat="false" ht="30" hidden="false" customHeight="true" outlineLevel="0" collapsed="false">
      <c r="A1" s="19" t="s">
        <v>145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146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147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0" hidden="false" customHeight="true" outlineLevel="0" collapsed="false">
      <c r="A5" s="65" t="s">
        <v>61</v>
      </c>
      <c r="B5" s="65" t="s">
        <v>148</v>
      </c>
      <c r="C5" s="65" t="s">
        <v>149</v>
      </c>
      <c r="D5" s="65" t="s">
        <v>150</v>
      </c>
      <c r="E5" s="66" t="s">
        <v>151</v>
      </c>
      <c r="F5" s="66"/>
      <c r="G5" s="66"/>
      <c r="H5" s="66"/>
      <c r="I5" s="67" t="s">
        <v>152</v>
      </c>
      <c r="J5" s="67"/>
      <c r="K5" s="67"/>
      <c r="L5" s="67"/>
      <c r="M5" s="68" t="s">
        <v>153</v>
      </c>
      <c r="N5" s="68"/>
      <c r="O5" s="68"/>
      <c r="P5" s="68"/>
    </row>
    <row r="6" customFormat="false" ht="34.5" hidden="false" customHeight="true" outlineLevel="0" collapsed="false">
      <c r="A6" s="65"/>
      <c r="B6" s="65"/>
      <c r="C6" s="65"/>
      <c r="D6" s="65"/>
      <c r="E6" s="69" t="s">
        <v>154</v>
      </c>
      <c r="F6" s="69" t="s">
        <v>155</v>
      </c>
      <c r="G6" s="69" t="s">
        <v>156</v>
      </c>
      <c r="H6" s="69" t="s">
        <v>157</v>
      </c>
      <c r="I6" s="69" t="s">
        <v>154</v>
      </c>
      <c r="J6" s="69" t="s">
        <v>155</v>
      </c>
      <c r="K6" s="69" t="s">
        <v>156</v>
      </c>
      <c r="L6" s="69" t="s">
        <v>157</v>
      </c>
      <c r="M6" s="69" t="s">
        <v>154</v>
      </c>
      <c r="N6" s="69" t="s">
        <v>155</v>
      </c>
      <c r="O6" s="69" t="s">
        <v>156</v>
      </c>
      <c r="P6" s="69" t="s">
        <v>157</v>
      </c>
    </row>
    <row r="7" customFormat="false" ht="15" hidden="false" customHeight="true" outlineLevel="0" collapsed="false">
      <c r="A7" s="48" t="s">
        <v>71</v>
      </c>
      <c r="B7" s="70" t="n">
        <v>89.9</v>
      </c>
      <c r="C7" s="37" t="n">
        <v>95000</v>
      </c>
      <c r="D7" s="49" t="n">
        <v>94.9</v>
      </c>
      <c r="E7" s="71" t="n">
        <f aca="false">(D7-B7)/B7</f>
        <v>0.0556173526140156</v>
      </c>
      <c r="F7" s="71" t="n">
        <f aca="false">OLS_Coefficients!I6*E7</f>
        <v>-0.0338865885080278</v>
      </c>
      <c r="G7" s="72" t="n">
        <f aca="false">ROUND(C7*(1+F7),0)</f>
        <v>91781</v>
      </c>
      <c r="H7" s="73" t="n">
        <f aca="false">D7*G7/1000000</f>
        <v>8.7100169</v>
      </c>
      <c r="I7" s="71" t="n">
        <f aca="false">(D7-B7)/B7</f>
        <v>0.0556173526140156</v>
      </c>
      <c r="J7" s="71" t="n">
        <f aca="false">OLS_Coefficients!C6*I7</f>
        <v>-0.0199554286913413</v>
      </c>
      <c r="K7" s="74" t="n">
        <f aca="false">ROUND(C7*(1+J7),0)</f>
        <v>93104</v>
      </c>
      <c r="L7" s="55" t="n">
        <f aca="false">D7*K7/1000000</f>
        <v>8.8355696</v>
      </c>
      <c r="M7" s="71" t="n">
        <f aca="false">(D7-B7)/B7</f>
        <v>0.0556173526140156</v>
      </c>
      <c r="N7" s="71" t="n">
        <f aca="false">OLS_Coefficients!J6*M7</f>
        <v>-0.00602426887465478</v>
      </c>
      <c r="O7" s="75" t="n">
        <f aca="false">ROUND(C7*(1+N7),0)</f>
        <v>94428</v>
      </c>
      <c r="P7" s="57" t="n">
        <f aca="false">D7*O7/1000000</f>
        <v>8.9612172</v>
      </c>
    </row>
    <row r="8" customFormat="false" ht="15" hidden="false" customHeight="true" outlineLevel="0" collapsed="false">
      <c r="A8" s="59" t="s">
        <v>72</v>
      </c>
      <c r="B8" s="76" t="n">
        <v>64.9</v>
      </c>
      <c r="C8" s="44" t="n">
        <v>42000</v>
      </c>
      <c r="D8" s="49" t="n">
        <v>69.9</v>
      </c>
      <c r="E8" s="77" t="n">
        <f aca="false">(D8-B8)/B8</f>
        <v>0.0770416024653313</v>
      </c>
      <c r="F8" s="77" t="n">
        <f aca="false">OLS_Coefficients!I7*E8</f>
        <v>-0.0616887649628701</v>
      </c>
      <c r="G8" s="72" t="n">
        <f aca="false">ROUND(C8*(1+F8),0)</f>
        <v>39409</v>
      </c>
      <c r="H8" s="73" t="n">
        <f aca="false">D8*G8/1000000</f>
        <v>2.7546891</v>
      </c>
      <c r="I8" s="77" t="n">
        <f aca="false">(D8-B8)/B8</f>
        <v>0.0770416024653313</v>
      </c>
      <c r="J8" s="77" t="n">
        <f aca="false">OLS_Coefficients!C7*I8</f>
        <v>-0.0415420402922338</v>
      </c>
      <c r="K8" s="74" t="n">
        <f aca="false">ROUND(C8*(1+J8),0)</f>
        <v>40255</v>
      </c>
      <c r="L8" s="55" t="n">
        <f aca="false">D8*K8/1000000</f>
        <v>2.8138245</v>
      </c>
      <c r="M8" s="77" t="n">
        <f aca="false">(D8-B8)/B8</f>
        <v>0.0770416024653313</v>
      </c>
      <c r="N8" s="77" t="n">
        <f aca="false">OLS_Coefficients!J7*M8</f>
        <v>-0.0213953156215975</v>
      </c>
      <c r="O8" s="75" t="n">
        <f aca="false">ROUND(C8*(1+N8),0)</f>
        <v>41101</v>
      </c>
      <c r="P8" s="57" t="n">
        <f aca="false">D8*O8/1000000</f>
        <v>2.8729599</v>
      </c>
    </row>
    <row r="9" customFormat="false" ht="15" hidden="false" customHeight="true" outlineLevel="0" collapsed="false">
      <c r="A9" s="48" t="s">
        <v>73</v>
      </c>
      <c r="B9" s="70" t="n">
        <v>129.9</v>
      </c>
      <c r="C9" s="37" t="n">
        <v>210000</v>
      </c>
      <c r="D9" s="49" t="n">
        <v>139.9</v>
      </c>
      <c r="E9" s="71" t="n">
        <f aca="false">(D9-B9)/B9</f>
        <v>0.0769822940723634</v>
      </c>
      <c r="F9" s="71" t="n">
        <f aca="false">OLS_Coefficients!I8*E9</f>
        <v>-0.0772221246982848</v>
      </c>
      <c r="G9" s="72" t="n">
        <f aca="false">ROUND(C9*(1+F9),0)</f>
        <v>193783</v>
      </c>
      <c r="H9" s="73" t="n">
        <f aca="false">D9*G9/1000000</f>
        <v>27.1102417</v>
      </c>
      <c r="I9" s="71" t="n">
        <f aca="false">(D9-B9)/B9</f>
        <v>0.0769822940723634</v>
      </c>
      <c r="J9" s="71" t="n">
        <f aca="false">OLS_Coefficients!C8*I9</f>
        <v>-0.0562757492571714</v>
      </c>
      <c r="K9" s="74" t="n">
        <f aca="false">ROUND(C9*(1+J9),0)</f>
        <v>198182</v>
      </c>
      <c r="L9" s="55" t="n">
        <f aca="false">D9*K9/1000000</f>
        <v>27.7256618</v>
      </c>
      <c r="M9" s="71" t="n">
        <f aca="false">(D9-B9)/B9</f>
        <v>0.0769822940723634</v>
      </c>
      <c r="N9" s="71" t="n">
        <f aca="false">OLS_Coefficients!J8*M9</f>
        <v>-0.0353293738160582</v>
      </c>
      <c r="O9" s="75" t="n">
        <f aca="false">ROUND(C9*(1+N9),0)</f>
        <v>202581</v>
      </c>
      <c r="P9" s="57" t="n">
        <f aca="false">D9*O9/1000000</f>
        <v>28.3410819</v>
      </c>
    </row>
    <row r="10" customFormat="false" ht="15" hidden="false" customHeight="true" outlineLevel="0" collapsed="false">
      <c r="A10" s="59" t="s">
        <v>74</v>
      </c>
      <c r="B10" s="76" t="n">
        <v>49.9</v>
      </c>
      <c r="C10" s="44" t="n">
        <v>68000</v>
      </c>
      <c r="D10" s="49" t="n">
        <v>54.9</v>
      </c>
      <c r="E10" s="77" t="n">
        <f aca="false">(D10-B10)/B10</f>
        <v>0.100200400801603</v>
      </c>
      <c r="F10" s="77" t="n">
        <f aca="false">OLS_Coefficients!I9*E10</f>
        <v>-0.16372745490982</v>
      </c>
      <c r="G10" s="72" t="n">
        <f aca="false">ROUND(C10*(1+F10),0)</f>
        <v>56867</v>
      </c>
      <c r="H10" s="73" t="n">
        <f aca="false">D10*G10/1000000</f>
        <v>3.1219983</v>
      </c>
      <c r="I10" s="77" t="n">
        <f aca="false">(D10-B10)/B10</f>
        <v>0.100200400801603</v>
      </c>
      <c r="J10" s="77" t="n">
        <f aca="false">OLS_Coefficients!C9*I10</f>
        <v>-0.135270541082164</v>
      </c>
      <c r="K10" s="74" t="n">
        <f aca="false">ROUND(C10*(1+J10),0)</f>
        <v>58802</v>
      </c>
      <c r="L10" s="55" t="n">
        <f aca="false">D10*K10/1000000</f>
        <v>3.2282298</v>
      </c>
      <c r="M10" s="77" t="n">
        <f aca="false">(D10-B10)/B10</f>
        <v>0.100200400801603</v>
      </c>
      <c r="N10" s="77" t="n">
        <f aca="false">OLS_Coefficients!J9*M10</f>
        <v>-0.106813627254509</v>
      </c>
      <c r="O10" s="75" t="n">
        <f aca="false">ROUND(C10*(1+N10),0)</f>
        <v>60737</v>
      </c>
      <c r="P10" s="57" t="n">
        <f aca="false">D10*O10/1000000</f>
        <v>3.3344613</v>
      </c>
    </row>
    <row r="11" customFormat="false" ht="15" hidden="false" customHeight="true" outlineLevel="0" collapsed="false">
      <c r="A11" s="48" t="s">
        <v>75</v>
      </c>
      <c r="B11" s="70" t="n">
        <v>39.9</v>
      </c>
      <c r="C11" s="37" t="n">
        <v>55000</v>
      </c>
      <c r="D11" s="49" t="n">
        <v>44.9</v>
      </c>
      <c r="E11" s="71" t="n">
        <f aca="false">(D11-B11)/B11</f>
        <v>0.12531328320802</v>
      </c>
      <c r="F11" s="71" t="n">
        <f aca="false">OLS_Coefficients!I10*E11</f>
        <v>-0.131389758295159</v>
      </c>
      <c r="G11" s="72" t="n">
        <f aca="false">ROUND(C11*(1+F11),0)</f>
        <v>47774</v>
      </c>
      <c r="H11" s="73" t="n">
        <f aca="false">D11*G11/1000000</f>
        <v>2.1450526</v>
      </c>
      <c r="I11" s="71" t="n">
        <f aca="false">(D11-B11)/B11</f>
        <v>0.12531328320802</v>
      </c>
      <c r="J11" s="71" t="n">
        <f aca="false">OLS_Coefficients!C10*I11</f>
        <v>-0.090438790955416</v>
      </c>
      <c r="K11" s="74" t="n">
        <f aca="false">ROUND(C11*(1+J11),0)</f>
        <v>50026</v>
      </c>
      <c r="L11" s="55" t="n">
        <f aca="false">D11*K11/1000000</f>
        <v>2.2461674</v>
      </c>
      <c r="M11" s="71" t="n">
        <f aca="false">(D11-B11)/B11</f>
        <v>0.12531328320802</v>
      </c>
      <c r="N11" s="71" t="n">
        <f aca="false">OLS_Coefficients!J10*M11</f>
        <v>-0.0494878236156734</v>
      </c>
      <c r="O11" s="75" t="n">
        <f aca="false">ROUND(C11*(1+N11),0)</f>
        <v>52278</v>
      </c>
      <c r="P11" s="57" t="n">
        <f aca="false">D11*O11/1000000</f>
        <v>2.3472822</v>
      </c>
    </row>
    <row r="12" customFormat="false" ht="15" hidden="false" customHeight="true" outlineLevel="0" collapsed="false">
      <c r="A12" s="59" t="s">
        <v>76</v>
      </c>
      <c r="B12" s="76" t="n">
        <v>179.9</v>
      </c>
      <c r="C12" s="44" t="n">
        <v>95000</v>
      </c>
      <c r="D12" s="49" t="n">
        <v>189.9</v>
      </c>
      <c r="E12" s="77" t="n">
        <f aca="false">(D12-B12)/B12</f>
        <v>0.0555864369093941</v>
      </c>
      <c r="F12" s="77" t="n">
        <f aca="false">OLS_Coefficients!I11*E12</f>
        <v>-0.0411060227090774</v>
      </c>
      <c r="G12" s="72" t="n">
        <f aca="false">ROUND(C12*(1+F12),0)</f>
        <v>91095</v>
      </c>
      <c r="H12" s="73" t="n">
        <f aca="false">D12*G12/1000000</f>
        <v>17.2989405</v>
      </c>
      <c r="I12" s="77" t="n">
        <f aca="false">(D12-B12)/B12</f>
        <v>0.0555864369093941</v>
      </c>
      <c r="J12" s="77" t="n">
        <f aca="false">OLS_Coefficients!C11*I12</f>
        <v>-0.0253560710306649</v>
      </c>
      <c r="K12" s="74" t="n">
        <f aca="false">ROUND(C12*(1+J12),0)</f>
        <v>92591</v>
      </c>
      <c r="L12" s="55" t="n">
        <f aca="false">D12*K12/1000000</f>
        <v>17.5830309</v>
      </c>
      <c r="M12" s="77" t="n">
        <f aca="false">(D12-B12)/B12</f>
        <v>0.0555864369093941</v>
      </c>
      <c r="N12" s="77" t="n">
        <f aca="false">OLS_Coefficients!J11*M12</f>
        <v>-0.00960611935225231</v>
      </c>
      <c r="O12" s="75" t="n">
        <f aca="false">ROUND(C12*(1+N12),0)</f>
        <v>94087</v>
      </c>
      <c r="P12" s="57" t="n">
        <f aca="false">D12*O12/1000000</f>
        <v>17.8671213</v>
      </c>
    </row>
    <row r="13" customFormat="false" ht="15" hidden="false" customHeight="true" outlineLevel="0" collapsed="false">
      <c r="A13" s="20" t="s">
        <v>158</v>
      </c>
      <c r="B13" s="20"/>
      <c r="C13" s="20"/>
      <c r="D13" s="20"/>
      <c r="E13" s="20"/>
      <c r="F13" s="20"/>
      <c r="G13" s="63" t="n">
        <f aca="false">SUM(G7:G12)</f>
        <v>520709</v>
      </c>
      <c r="H13" s="20"/>
      <c r="I13" s="20"/>
      <c r="J13" s="20"/>
      <c r="K13" s="63" t="n">
        <f aca="false">SUM(K7:K12)</f>
        <v>532960</v>
      </c>
      <c r="L13" s="20"/>
      <c r="M13" s="20"/>
      <c r="N13" s="20"/>
      <c r="O13" s="63" t="n">
        <f aca="false">SUM(O7:O12)</f>
        <v>545212</v>
      </c>
      <c r="P13" s="20"/>
    </row>
    <row r="15" customFormat="false" ht="21.75" hidden="false" customHeight="true" outlineLevel="0" collapsed="false">
      <c r="A15" s="4" t="s">
        <v>159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customFormat="false" ht="23.25" hidden="false" customHeight="true" outlineLevel="0" collapsed="false">
      <c r="A16" s="31" t="s">
        <v>61</v>
      </c>
      <c r="B16" s="31" t="s">
        <v>160</v>
      </c>
      <c r="C16" s="31" t="s">
        <v>161</v>
      </c>
      <c r="D16" s="31" t="s">
        <v>162</v>
      </c>
      <c r="E16" s="31" t="s">
        <v>163</v>
      </c>
      <c r="F16" s="31" t="s">
        <v>164</v>
      </c>
      <c r="G16" s="31" t="s">
        <v>165</v>
      </c>
    </row>
    <row r="17" customFormat="false" ht="15" hidden="false" customHeight="true" outlineLevel="0" collapsed="false">
      <c r="A17" s="48" t="s">
        <v>71</v>
      </c>
      <c r="B17" s="56" t="n">
        <f aca="false">B7*C7/1000000</f>
        <v>8.5405</v>
      </c>
      <c r="C17" s="78" t="n">
        <f aca="false">H7</f>
        <v>8.7100169</v>
      </c>
      <c r="D17" s="55" t="n">
        <f aca="false">L7</f>
        <v>8.8355696</v>
      </c>
      <c r="E17" s="57" t="n">
        <f aca="false">P7</f>
        <v>8.9612172</v>
      </c>
      <c r="F17" s="56" t="n">
        <f aca="false">E17-C17</f>
        <v>0.251200300000001</v>
      </c>
      <c r="G17" s="79" t="str">
        <f aca="false">_xlfn.IFS(C17&gt;B17*1.02,"Risco alto",D17&gt;B17,"Reajuste viavel",TRUE(),"Manter preco")</f>
        <v>Reajuste viavel</v>
      </c>
    </row>
    <row r="18" customFormat="false" ht="15" hidden="false" customHeight="true" outlineLevel="0" collapsed="false">
      <c r="A18" s="59" t="s">
        <v>72</v>
      </c>
      <c r="B18" s="62" t="n">
        <f aca="false">B8*C8/1000000</f>
        <v>2.7258</v>
      </c>
      <c r="C18" s="78" t="n">
        <f aca="false">H8</f>
        <v>2.7546891</v>
      </c>
      <c r="D18" s="55" t="n">
        <f aca="false">L8</f>
        <v>2.8138245</v>
      </c>
      <c r="E18" s="57" t="n">
        <f aca="false">P8</f>
        <v>2.8729599</v>
      </c>
      <c r="F18" s="62" t="n">
        <f aca="false">E18-C18</f>
        <v>0.1182708</v>
      </c>
      <c r="G18" s="80" t="str">
        <f aca="false">_xlfn.IFS(C18&gt;B18*1.02,"Risco alto",D18&gt;B18,"Reajuste viavel",TRUE(),"Manter preco")</f>
        <v>Reajuste viavel</v>
      </c>
    </row>
    <row r="19" customFormat="false" ht="15" hidden="false" customHeight="true" outlineLevel="0" collapsed="false">
      <c r="A19" s="48" t="s">
        <v>73</v>
      </c>
      <c r="B19" s="56" t="n">
        <f aca="false">B9*C9/1000000</f>
        <v>27.279</v>
      </c>
      <c r="C19" s="78" t="n">
        <f aca="false">H9</f>
        <v>27.1102417</v>
      </c>
      <c r="D19" s="55" t="n">
        <f aca="false">L9</f>
        <v>27.7256618</v>
      </c>
      <c r="E19" s="57" t="n">
        <f aca="false">P9</f>
        <v>28.3410819</v>
      </c>
      <c r="F19" s="56" t="n">
        <f aca="false">E19-C19</f>
        <v>1.2308402</v>
      </c>
      <c r="G19" s="79" t="str">
        <f aca="false">_xlfn.IFS(C19&gt;B19*1.02,"Risco alto",D19&gt;B19,"Reajuste viavel",TRUE(),"Manter preco")</f>
        <v>Reajuste viavel</v>
      </c>
    </row>
    <row r="20" customFormat="false" ht="15" hidden="false" customHeight="true" outlineLevel="0" collapsed="false">
      <c r="A20" s="59" t="s">
        <v>74</v>
      </c>
      <c r="B20" s="62" t="n">
        <f aca="false">B10*C10/1000000</f>
        <v>3.3932</v>
      </c>
      <c r="C20" s="78" t="n">
        <f aca="false">H10</f>
        <v>3.1219983</v>
      </c>
      <c r="D20" s="55" t="n">
        <f aca="false">L10</f>
        <v>3.2282298</v>
      </c>
      <c r="E20" s="57" t="n">
        <f aca="false">P10</f>
        <v>3.3344613</v>
      </c>
      <c r="F20" s="62" t="n">
        <f aca="false">E20-C20</f>
        <v>0.212463</v>
      </c>
      <c r="G20" s="80" t="str">
        <f aca="false">_xlfn.IFS(C20&gt;B20*1.02,"Risco alto",D20&gt;B20,"Reajuste viavel",TRUE(),"Manter preco")</f>
        <v>Manter preco</v>
      </c>
    </row>
    <row r="21" customFormat="false" ht="15" hidden="false" customHeight="true" outlineLevel="0" collapsed="false">
      <c r="A21" s="48" t="s">
        <v>75</v>
      </c>
      <c r="B21" s="56" t="n">
        <f aca="false">B11*C11/1000000</f>
        <v>2.1945</v>
      </c>
      <c r="C21" s="78" t="n">
        <f aca="false">H11</f>
        <v>2.1450526</v>
      </c>
      <c r="D21" s="55" t="n">
        <f aca="false">L11</f>
        <v>2.2461674</v>
      </c>
      <c r="E21" s="57" t="n">
        <f aca="false">P11</f>
        <v>2.3472822</v>
      </c>
      <c r="F21" s="56" t="n">
        <f aca="false">E21-C21</f>
        <v>0.202229599999999</v>
      </c>
      <c r="G21" s="79" t="str">
        <f aca="false">_xlfn.IFS(C21&gt;B21*1.02,"Risco alto",D21&gt;B21,"Reajuste viavel",TRUE(),"Manter preco")</f>
        <v>Reajuste viavel</v>
      </c>
    </row>
    <row r="22" customFormat="false" ht="15" hidden="false" customHeight="true" outlineLevel="0" collapsed="false">
      <c r="A22" s="59" t="s">
        <v>76</v>
      </c>
      <c r="B22" s="62" t="n">
        <f aca="false">B12*C12/1000000</f>
        <v>17.0905</v>
      </c>
      <c r="C22" s="78" t="n">
        <f aca="false">H12</f>
        <v>17.2989405</v>
      </c>
      <c r="D22" s="55" t="n">
        <f aca="false">L12</f>
        <v>17.5830309</v>
      </c>
      <c r="E22" s="57" t="n">
        <f aca="false">P12</f>
        <v>17.8671213</v>
      </c>
      <c r="F22" s="62" t="n">
        <f aca="false">E22-C22</f>
        <v>0.5681808</v>
      </c>
      <c r="G22" s="80" t="str">
        <f aca="false">_xlfn.IFS(C22&gt;B22*1.02,"Risco alto",D22&gt;B22,"Reajuste viavel",TRUE(),"Manter preco")</f>
        <v>Reajuste viavel</v>
      </c>
    </row>
  </sheetData>
  <mergeCells count="11">
    <mergeCell ref="A1:N1"/>
    <mergeCell ref="A2:N2"/>
    <mergeCell ref="A4:N4"/>
    <mergeCell ref="A5:A6"/>
    <mergeCell ref="B5:B6"/>
    <mergeCell ref="C5:C6"/>
    <mergeCell ref="D5:D6"/>
    <mergeCell ref="E5:H5"/>
    <mergeCell ref="I5:L5"/>
    <mergeCell ref="M5:P5"/>
    <mergeCell ref="A15:P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8" min="3" style="1" width="14"/>
    <col collapsed="false" customWidth="true" hidden="false" outlineLevel="0" max="9" min="9" style="1" width="12"/>
    <col collapsed="false" customWidth="true" hidden="false" outlineLevel="0" max="10" min="10" style="1" width="14"/>
    <col collapsed="false" customWidth="true" hidden="false" outlineLevel="0" max="12" min="11" style="1" width="12"/>
    <col collapsed="false" customWidth="true" hidden="false" outlineLevel="0" max="14" min="13" style="1" width="16"/>
  </cols>
  <sheetData>
    <row r="1" customFormat="false" ht="30" hidden="false" customHeight="true" outlineLevel="0" collapsed="false">
      <c r="A1" s="19" t="s">
        <v>166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167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168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49.5" hidden="false" customHeight="true" outlineLevel="0" collapsed="false">
      <c r="A5" s="31" t="s">
        <v>61</v>
      </c>
      <c r="B5" s="31" t="s">
        <v>169</v>
      </c>
      <c r="C5" s="31" t="s">
        <v>170</v>
      </c>
      <c r="D5" s="31" t="s">
        <v>171</v>
      </c>
      <c r="E5" s="31" t="s">
        <v>172</v>
      </c>
      <c r="F5" s="31" t="s">
        <v>173</v>
      </c>
      <c r="G5" s="31" t="s">
        <v>174</v>
      </c>
      <c r="H5" s="31" t="s">
        <v>175</v>
      </c>
      <c r="I5" s="31" t="s">
        <v>176</v>
      </c>
      <c r="J5" s="31" t="s">
        <v>177</v>
      </c>
      <c r="K5" s="31" t="s">
        <v>178</v>
      </c>
      <c r="L5" s="31" t="s">
        <v>179</v>
      </c>
      <c r="M5" s="31" t="s">
        <v>180</v>
      </c>
      <c r="N5" s="31" t="s">
        <v>181</v>
      </c>
    </row>
    <row r="6" customFormat="false" ht="15" hidden="false" customHeight="true" outlineLevel="0" collapsed="false">
      <c r="A6" s="48" t="s">
        <v>71</v>
      </c>
      <c r="B6" s="37" t="n">
        <v>450</v>
      </c>
      <c r="C6" s="49" t="n">
        <v>145</v>
      </c>
      <c r="D6" s="49" t="n">
        <v>115</v>
      </c>
      <c r="E6" s="49" t="n">
        <v>78</v>
      </c>
      <c r="F6" s="49" t="n">
        <v>48</v>
      </c>
      <c r="G6" s="57" t="n">
        <f aca="false">F6</f>
        <v>48</v>
      </c>
      <c r="H6" s="81" t="n">
        <f aca="false">D6</f>
        <v>115</v>
      </c>
      <c r="I6" s="56" t="n">
        <f aca="false">H6-G6</f>
        <v>67</v>
      </c>
      <c r="J6" s="55" t="n">
        <f aca="false">(D6+E6)/2</f>
        <v>96.5</v>
      </c>
      <c r="K6" s="49" t="n">
        <v>89.9</v>
      </c>
      <c r="L6" s="82" t="n">
        <f aca="false">J6-K6</f>
        <v>6.59999999999999</v>
      </c>
      <c r="M6" s="79" t="str">
        <f aca="false">_xlfn.IFS(L6&gt;15,"↑ Aumentar preço",L6&lt;-15,"↓ Reduzir preço",TRUE(),"= Manter preço")</f>
        <v>= Manter preço</v>
      </c>
      <c r="N6" s="79" t="str">
        <f aca="false">_xlfn.IFS(B6&gt;=400,"Alta (n≥400)",B6&gt;=200,"Média (n≥200)","TRUE","Baixa (n&lt;200)")</f>
        <v>Alta (n≥400)</v>
      </c>
    </row>
    <row r="7" customFormat="false" ht="15" hidden="false" customHeight="true" outlineLevel="0" collapsed="false">
      <c r="A7" s="59" t="s">
        <v>72</v>
      </c>
      <c r="B7" s="44" t="n">
        <v>280</v>
      </c>
      <c r="C7" s="49" t="n">
        <v>98</v>
      </c>
      <c r="D7" s="49" t="n">
        <v>82</v>
      </c>
      <c r="E7" s="49" t="n">
        <v>57</v>
      </c>
      <c r="F7" s="49" t="n">
        <v>36</v>
      </c>
      <c r="G7" s="57" t="n">
        <f aca="false">F7</f>
        <v>36</v>
      </c>
      <c r="H7" s="81" t="n">
        <f aca="false">D7</f>
        <v>82</v>
      </c>
      <c r="I7" s="62" t="n">
        <f aca="false">H7-G7</f>
        <v>46</v>
      </c>
      <c r="J7" s="55" t="n">
        <f aca="false">(D7+E7)/2</f>
        <v>69.5</v>
      </c>
      <c r="K7" s="49" t="n">
        <v>64.9</v>
      </c>
      <c r="L7" s="83" t="n">
        <f aca="false">J7-K7</f>
        <v>4.59999999999999</v>
      </c>
      <c r="M7" s="80" t="str">
        <f aca="false">_xlfn.IFS(L7&gt;15,"↑ Aumentar preço",L7&lt;-15,"↓ Reduzir preço",TRUE(),"= Manter preço")</f>
        <v>= Manter preço</v>
      </c>
      <c r="N7" s="80" t="str">
        <f aca="false">_xlfn.IFS(B7&gt;=400,"Alta (n≥400)",B7&gt;=200,"Média (n≥200)","TRUE","Baixa (n&lt;200)")</f>
        <v>Média (n≥200)</v>
      </c>
    </row>
    <row r="8" customFormat="false" ht="15" hidden="false" customHeight="true" outlineLevel="0" collapsed="false">
      <c r="A8" s="48" t="s">
        <v>73</v>
      </c>
      <c r="B8" s="37" t="n">
        <v>620</v>
      </c>
      <c r="C8" s="49" t="n">
        <v>195</v>
      </c>
      <c r="D8" s="49" t="n">
        <v>155</v>
      </c>
      <c r="E8" s="49" t="n">
        <v>98</v>
      </c>
      <c r="F8" s="49" t="n">
        <v>62</v>
      </c>
      <c r="G8" s="57" t="n">
        <f aca="false">F8</f>
        <v>62</v>
      </c>
      <c r="H8" s="81" t="n">
        <f aca="false">D8</f>
        <v>155</v>
      </c>
      <c r="I8" s="56" t="n">
        <f aca="false">H8-G8</f>
        <v>93</v>
      </c>
      <c r="J8" s="55" t="n">
        <f aca="false">(D8+E8)/2</f>
        <v>126.5</v>
      </c>
      <c r="K8" s="49" t="n">
        <v>129.9</v>
      </c>
      <c r="L8" s="82" t="n">
        <f aca="false">J8-K8</f>
        <v>-3.40000000000001</v>
      </c>
      <c r="M8" s="79" t="str">
        <f aca="false">_xlfn.IFS(L8&gt;15,"↑ Aumentar preço",L8&lt;-15,"↓ Reduzir preço",TRUE(),"= Manter preço")</f>
        <v>= Manter preço</v>
      </c>
      <c r="N8" s="79" t="str">
        <f aca="false">_xlfn.IFS(B8&gt;=400,"Alta (n≥400)",B8&gt;=200,"Média (n≥200)","TRUE","Baixa (n&lt;200)")</f>
        <v>Alta (n≥400)</v>
      </c>
    </row>
    <row r="9" customFormat="false" ht="15" hidden="false" customHeight="true" outlineLevel="0" collapsed="false">
      <c r="A9" s="59" t="s">
        <v>74</v>
      </c>
      <c r="B9" s="44" t="n">
        <v>380</v>
      </c>
      <c r="C9" s="49" t="n">
        <v>88</v>
      </c>
      <c r="D9" s="49" t="n">
        <v>68</v>
      </c>
      <c r="E9" s="49" t="n">
        <v>44</v>
      </c>
      <c r="F9" s="49" t="n">
        <v>27</v>
      </c>
      <c r="G9" s="57" t="n">
        <f aca="false">F9</f>
        <v>27</v>
      </c>
      <c r="H9" s="81" t="n">
        <f aca="false">D9</f>
        <v>68</v>
      </c>
      <c r="I9" s="62" t="n">
        <f aca="false">H9-G9</f>
        <v>41</v>
      </c>
      <c r="J9" s="55" t="n">
        <f aca="false">(D9+E9)/2</f>
        <v>56</v>
      </c>
      <c r="K9" s="49" t="n">
        <v>49.9</v>
      </c>
      <c r="L9" s="83" t="n">
        <f aca="false">J9-K9</f>
        <v>6.1</v>
      </c>
      <c r="M9" s="80" t="str">
        <f aca="false">_xlfn.IFS(L9&gt;15,"↑ Aumentar preço",L9&lt;-15,"↓ Reduzir preço",TRUE(),"= Manter preço")</f>
        <v>= Manter preço</v>
      </c>
      <c r="N9" s="80" t="str">
        <f aca="false">_xlfn.IFS(B9&gt;=400,"Alta (n≥400)",B9&gt;=200,"Média (n≥200)","TRUE","Baixa (n&lt;200)")</f>
        <v>Média (n≥200)</v>
      </c>
    </row>
    <row r="10" customFormat="false" ht="15" hidden="false" customHeight="true" outlineLevel="0" collapsed="false">
      <c r="A10" s="48" t="s">
        <v>75</v>
      </c>
      <c r="B10" s="37" t="n">
        <v>290</v>
      </c>
      <c r="C10" s="49" t="n">
        <v>72</v>
      </c>
      <c r="D10" s="49" t="n">
        <v>57</v>
      </c>
      <c r="E10" s="49" t="n">
        <v>36</v>
      </c>
      <c r="F10" s="49" t="n">
        <v>22</v>
      </c>
      <c r="G10" s="57" t="n">
        <f aca="false">F10</f>
        <v>22</v>
      </c>
      <c r="H10" s="81" t="n">
        <f aca="false">D10</f>
        <v>57</v>
      </c>
      <c r="I10" s="56" t="n">
        <f aca="false">H10-G10</f>
        <v>35</v>
      </c>
      <c r="J10" s="55" t="n">
        <f aca="false">(D10+E10)/2</f>
        <v>46.5</v>
      </c>
      <c r="K10" s="49" t="n">
        <v>39.9</v>
      </c>
      <c r="L10" s="82" t="n">
        <f aca="false">J10-K10</f>
        <v>6.6</v>
      </c>
      <c r="M10" s="79" t="str">
        <f aca="false">_xlfn.IFS(L10&gt;15,"↑ Aumentar preço",L10&lt;-15,"↓ Reduzir preço",TRUE(),"= Manter preço")</f>
        <v>= Manter preço</v>
      </c>
      <c r="N10" s="79" t="str">
        <f aca="false">_xlfn.IFS(B10&gt;=400,"Alta (n≥400)",B10&gt;=200,"Média (n≥200)","TRUE","Baixa (n&lt;200)")</f>
        <v>Média (n≥200)</v>
      </c>
    </row>
    <row r="11" customFormat="false" ht="15" hidden="false" customHeight="true" outlineLevel="0" collapsed="false">
      <c r="A11" s="59" t="s">
        <v>76</v>
      </c>
      <c r="B11" s="44" t="n">
        <v>510</v>
      </c>
      <c r="C11" s="49" t="n">
        <v>265</v>
      </c>
      <c r="D11" s="49" t="n">
        <v>205</v>
      </c>
      <c r="E11" s="49" t="n">
        <v>142</v>
      </c>
      <c r="F11" s="49" t="n">
        <v>92</v>
      </c>
      <c r="G11" s="57" t="n">
        <f aca="false">F11</f>
        <v>92</v>
      </c>
      <c r="H11" s="81" t="n">
        <f aca="false">D11</f>
        <v>205</v>
      </c>
      <c r="I11" s="62" t="n">
        <f aca="false">H11-G11</f>
        <v>113</v>
      </c>
      <c r="J11" s="55" t="n">
        <f aca="false">(D11+E11)/2</f>
        <v>173.5</v>
      </c>
      <c r="K11" s="49" t="n">
        <v>179.9</v>
      </c>
      <c r="L11" s="83" t="n">
        <f aca="false">J11-K11</f>
        <v>-6.40000000000001</v>
      </c>
      <c r="M11" s="80" t="str">
        <f aca="false">_xlfn.IFS(L11&gt;15,"↑ Aumentar preço",L11&lt;-15,"↓ Reduzir preço",TRUE(),"= Manter preço")</f>
        <v>= Manter preço</v>
      </c>
      <c r="N11" s="80" t="str">
        <f aca="false">_xlfn.IFS(B11&gt;=400,"Alta (n≥400)",B11&gt;=200,"Média (n≥200)","TRUE","Baixa (n&lt;200)")</f>
        <v>Alta (n≥400)</v>
      </c>
    </row>
  </sheetData>
  <mergeCells count="3">
    <mergeCell ref="A1:N1"/>
    <mergeCell ref="A2:N2"/>
    <mergeCell ref="A4:N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3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30" hidden="false" customHeight="true" outlineLevel="0" collapsed="false">
      <c r="A1" s="19" t="s">
        <v>182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183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184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6" customFormat="false" ht="39.75" hidden="false" customHeight="true" outlineLevel="0" collapsed="false">
      <c r="A6" s="84" t="s">
        <v>185</v>
      </c>
      <c r="B6" s="31" t="s">
        <v>71</v>
      </c>
      <c r="C6" s="31" t="s">
        <v>186</v>
      </c>
      <c r="D6" s="31" t="s">
        <v>73</v>
      </c>
      <c r="E6" s="31" t="s">
        <v>187</v>
      </c>
      <c r="F6" s="31" t="s">
        <v>75</v>
      </c>
      <c r="G6" s="31" t="s">
        <v>188</v>
      </c>
    </row>
    <row r="7" customFormat="false" ht="19.5" hidden="false" customHeight="true" outlineLevel="0" collapsed="false">
      <c r="A7" s="18" t="s">
        <v>71</v>
      </c>
      <c r="B7" s="85" t="n">
        <v>0</v>
      </c>
      <c r="C7" s="86" t="n">
        <v>0.12</v>
      </c>
      <c r="D7" s="35" t="n">
        <v>-0.05</v>
      </c>
      <c r="E7" s="35" t="n">
        <v>-0.03</v>
      </c>
      <c r="F7" s="35" t="n">
        <v>-0.02</v>
      </c>
      <c r="G7" s="87" t="n">
        <v>-0.18</v>
      </c>
    </row>
    <row r="8" customFormat="false" ht="19.5" hidden="false" customHeight="true" outlineLevel="0" collapsed="false">
      <c r="A8" s="18" t="s">
        <v>72</v>
      </c>
      <c r="B8" s="86" t="n">
        <v>0.1</v>
      </c>
      <c r="C8" s="85" t="n">
        <v>0</v>
      </c>
      <c r="D8" s="35" t="n">
        <v>-0.03</v>
      </c>
      <c r="E8" s="35" t="n">
        <v>-0.02</v>
      </c>
      <c r="F8" s="35" t="n">
        <v>-0.01</v>
      </c>
      <c r="G8" s="87" t="n">
        <v>-0.15</v>
      </c>
    </row>
    <row r="9" customFormat="false" ht="19.5" hidden="false" customHeight="true" outlineLevel="0" collapsed="false">
      <c r="A9" s="18" t="s">
        <v>73</v>
      </c>
      <c r="B9" s="35" t="n">
        <v>-0.05</v>
      </c>
      <c r="C9" s="35" t="n">
        <v>-0.03</v>
      </c>
      <c r="D9" s="85" t="n">
        <v>0</v>
      </c>
      <c r="E9" s="86" t="n">
        <v>0.08</v>
      </c>
      <c r="F9" s="86" t="n">
        <v>0.14</v>
      </c>
      <c r="G9" s="87" t="n">
        <v>-0.22</v>
      </c>
    </row>
    <row r="10" customFormat="false" ht="19.5" hidden="false" customHeight="true" outlineLevel="0" collapsed="false">
      <c r="A10" s="18" t="s">
        <v>74</v>
      </c>
      <c r="B10" s="35" t="n">
        <v>-0.03</v>
      </c>
      <c r="C10" s="35" t="n">
        <v>-0.02</v>
      </c>
      <c r="D10" s="86" t="n">
        <v>0.08</v>
      </c>
      <c r="E10" s="85" t="n">
        <v>0</v>
      </c>
      <c r="F10" s="86" t="n">
        <v>0.04</v>
      </c>
      <c r="G10" s="87" t="n">
        <v>-0.2</v>
      </c>
    </row>
    <row r="11" customFormat="false" ht="19.5" hidden="false" customHeight="true" outlineLevel="0" collapsed="false">
      <c r="A11" s="18" t="s">
        <v>75</v>
      </c>
      <c r="B11" s="35" t="n">
        <v>-0.02</v>
      </c>
      <c r="C11" s="35" t="n">
        <v>-0.01</v>
      </c>
      <c r="D11" s="86" t="n">
        <v>0.14</v>
      </c>
      <c r="E11" s="86" t="n">
        <v>0.04</v>
      </c>
      <c r="F11" s="85" t="n">
        <v>0</v>
      </c>
      <c r="G11" s="87" t="n">
        <v>-0.12</v>
      </c>
    </row>
    <row r="12" customFormat="false" ht="19.5" hidden="false" customHeight="true" outlineLevel="0" collapsed="false">
      <c r="A12" s="18" t="s">
        <v>76</v>
      </c>
      <c r="B12" s="86" t="n">
        <v>0.2</v>
      </c>
      <c r="C12" s="86" t="n">
        <v>0.15</v>
      </c>
      <c r="D12" s="86" t="n">
        <v>0.25</v>
      </c>
      <c r="E12" s="86" t="n">
        <v>0.18</v>
      </c>
      <c r="F12" s="86" t="n">
        <v>0.12</v>
      </c>
      <c r="G12" s="85" t="n">
        <v>0</v>
      </c>
    </row>
    <row r="15" customFormat="false" ht="21.75" hidden="false" customHeight="true" outlineLevel="0" collapsed="false">
      <c r="A15" s="4" t="s">
        <v>189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customFormat="false" ht="18" hidden="false" customHeight="true" outlineLevel="0" collapsed="false">
      <c r="A16" s="3" t="s">
        <v>190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customFormat="false" ht="21.75" hidden="false" customHeight="true" outlineLevel="0" collapsed="false">
      <c r="A17" s="88" t="s">
        <v>191</v>
      </c>
      <c r="B17" s="88"/>
      <c r="C17" s="88"/>
      <c r="D17" s="88"/>
      <c r="E17" s="88"/>
      <c r="F17" s="88"/>
      <c r="G17" s="88"/>
      <c r="H17" s="88"/>
      <c r="I17" s="88"/>
    </row>
    <row r="18" customFormat="false" ht="15" hidden="false" customHeight="true" outlineLevel="0" collapsed="false">
      <c r="A18" s="89" t="s">
        <v>192</v>
      </c>
      <c r="B18" s="89"/>
      <c r="C18" s="90" t="s">
        <v>71</v>
      </c>
    </row>
    <row r="19" customFormat="false" ht="15" hidden="false" customHeight="true" outlineLevel="0" collapsed="false">
      <c r="A19" s="91" t="s">
        <v>193</v>
      </c>
      <c r="B19" s="91"/>
      <c r="C19" s="92" t="n">
        <v>0.056</v>
      </c>
    </row>
    <row r="21" customFormat="false" ht="39.75" hidden="false" customHeight="true" outlineLevel="0" collapsed="false">
      <c r="A21" s="31" t="s">
        <v>194</v>
      </c>
      <c r="B21" s="31" t="s">
        <v>133</v>
      </c>
      <c r="C21" s="31" t="s">
        <v>195</v>
      </c>
      <c r="D21" s="31" t="s">
        <v>196</v>
      </c>
      <c r="E21" s="31" t="s">
        <v>197</v>
      </c>
      <c r="F21" s="31" t="s">
        <v>141</v>
      </c>
      <c r="G21" s="31" t="s">
        <v>198</v>
      </c>
      <c r="H21" s="31" t="s">
        <v>199</v>
      </c>
    </row>
    <row r="22" customFormat="false" ht="15" hidden="false" customHeight="true" outlineLevel="0" collapsed="false">
      <c r="A22" s="14" t="s">
        <v>200</v>
      </c>
      <c r="B22" s="14"/>
      <c r="C22" s="14"/>
      <c r="D22" s="14"/>
      <c r="E22" s="14"/>
      <c r="F22" s="14"/>
      <c r="G22" s="14"/>
      <c r="H22" s="14"/>
    </row>
    <row r="23" customFormat="false" ht="15" hidden="false" customHeight="true" outlineLevel="0" collapsed="false">
      <c r="A23" s="59" t="s">
        <v>72</v>
      </c>
      <c r="B23" s="93" t="n">
        <v>42000</v>
      </c>
      <c r="C23" s="86" t="n">
        <v>0.1</v>
      </c>
      <c r="D23" s="77" t="n">
        <f aca="false">C23*$C$19</f>
        <v>0.0056</v>
      </c>
      <c r="E23" s="94" t="n">
        <f aca="false">ROUND(B23*D23,0)</f>
        <v>235</v>
      </c>
      <c r="F23" s="62" t="n">
        <v>2.7258</v>
      </c>
      <c r="G23" s="62" t="n">
        <f aca="false">F23*(D23)</f>
        <v>0.01526448</v>
      </c>
      <c r="H23" s="80" t="str">
        <f aca="false">_xlfn.IFS(E23&gt;0,"Migração para bundle","E23&lt;-100","Perda relevante","TRUE","Impacto marginal")</f>
        <v>Migração para bundle</v>
      </c>
    </row>
    <row r="24" customFormat="false" ht="15" hidden="false" customHeight="true" outlineLevel="0" collapsed="false">
      <c r="A24" s="48" t="s">
        <v>73</v>
      </c>
      <c r="B24" s="95" t="n">
        <v>210000</v>
      </c>
      <c r="C24" s="86" t="n">
        <v>-0.05</v>
      </c>
      <c r="D24" s="71" t="n">
        <f aca="false">C24*$C$19</f>
        <v>-0.0028</v>
      </c>
      <c r="E24" s="96" t="n">
        <f aca="false">ROUND(B24*D24,0)</f>
        <v>-588</v>
      </c>
      <c r="F24" s="56" t="n">
        <v>27.279</v>
      </c>
      <c r="G24" s="56" t="n">
        <f aca="false">F24*(D24)</f>
        <v>-0.0763812</v>
      </c>
      <c r="H24" s="79" t="str">
        <f aca="false">_xlfn.IFS(E24&gt;0,"Migracao para bundle",E24&lt;-100,"Perda relevante",TRUE(),"Impacto marginal")</f>
        <v>Perda relevante</v>
      </c>
    </row>
    <row r="25" customFormat="false" ht="15" hidden="false" customHeight="true" outlineLevel="0" collapsed="false">
      <c r="A25" s="59" t="s">
        <v>74</v>
      </c>
      <c r="B25" s="93" t="n">
        <v>68000</v>
      </c>
      <c r="C25" s="86" t="n">
        <v>-0.03</v>
      </c>
      <c r="D25" s="77" t="n">
        <f aca="false">C25*$C$19</f>
        <v>-0.00168</v>
      </c>
      <c r="E25" s="96" t="n">
        <f aca="false">ROUND(B25*D25,0)</f>
        <v>-114</v>
      </c>
      <c r="F25" s="62" t="n">
        <v>3.3932</v>
      </c>
      <c r="G25" s="62" t="n">
        <f aca="false">F25*(D25)</f>
        <v>-0.005700576</v>
      </c>
      <c r="H25" s="80" t="str">
        <f aca="false">_xlfn.IFS(E25&gt;0,"Migracao para bundle",E25&lt;-100,"Perda relevante",TRUE(),"Impacto marginal")</f>
        <v>Perda relevante</v>
      </c>
    </row>
    <row r="26" customFormat="false" ht="15" hidden="false" customHeight="true" outlineLevel="0" collapsed="false">
      <c r="A26" s="48" t="s">
        <v>75</v>
      </c>
      <c r="B26" s="95" t="n">
        <v>55000</v>
      </c>
      <c r="C26" s="86" t="n">
        <v>-0.02</v>
      </c>
      <c r="D26" s="71" t="n">
        <f aca="false">C26*$C$19</f>
        <v>-0.00112</v>
      </c>
      <c r="E26" s="96" t="n">
        <f aca="false">ROUND(B26*D26,0)</f>
        <v>-62</v>
      </c>
      <c r="F26" s="56" t="n">
        <v>2.1945</v>
      </c>
      <c r="G26" s="56" t="n">
        <f aca="false">F26*(D26)</f>
        <v>-0.00245784</v>
      </c>
      <c r="H26" s="79" t="str">
        <f aca="false">_xlfn.IFS(E26&gt;0,"Migracao para bundle",E26&lt;-100,"Perda relevante",TRUE(),"Impacto marginal")</f>
        <v>Impacto marginal</v>
      </c>
    </row>
    <row r="27" customFormat="false" ht="15" hidden="false" customHeight="true" outlineLevel="0" collapsed="false">
      <c r="A27" s="59" t="s">
        <v>76</v>
      </c>
      <c r="B27" s="93" t="n">
        <v>95000</v>
      </c>
      <c r="C27" s="86" t="n">
        <v>0.2</v>
      </c>
      <c r="D27" s="77" t="n">
        <f aca="false">C27*$C$19</f>
        <v>0.0112</v>
      </c>
      <c r="E27" s="94" t="n">
        <f aca="false">ROUND(B27*D27,0)</f>
        <v>1064</v>
      </c>
      <c r="F27" s="62" t="n">
        <v>17.0905</v>
      </c>
      <c r="G27" s="62" t="n">
        <f aca="false">F27*(D27)</f>
        <v>0.1914136</v>
      </c>
      <c r="H27" s="80" t="str">
        <f aca="false">_xlfn.IFS(E27&gt;0,"Migração para bundle","E27&lt;-100","Perda relevante","TRUE","Impacto marginal")</f>
        <v>Migração para bundle</v>
      </c>
    </row>
  </sheetData>
  <mergeCells count="8">
    <mergeCell ref="A1:N1"/>
    <mergeCell ref="A2:N2"/>
    <mergeCell ref="A4:N4"/>
    <mergeCell ref="A15:N15"/>
    <mergeCell ref="A16:N16"/>
    <mergeCell ref="A17:I17"/>
    <mergeCell ref="A18:B18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6" min="5" style="1" width="16"/>
    <col collapsed="false" customWidth="true" hidden="false" outlineLevel="0" max="8" min="7" style="1" width="18"/>
    <col collapsed="false" customWidth="true" hidden="false" outlineLevel="0" max="10" min="9" style="1" width="14"/>
    <col collapsed="false" customWidth="true" hidden="false" outlineLevel="0" max="11" min="11" style="1" width="10"/>
  </cols>
  <sheetData>
    <row r="1" customFormat="false" ht="30" hidden="false" customHeight="true" outlineLevel="0" collapsed="false">
      <c r="A1" s="19" t="s">
        <v>201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202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203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true" outlineLevel="0" collapsed="false">
      <c r="A5" s="97" t="s">
        <v>204</v>
      </c>
      <c r="B5" s="90" t="s">
        <v>71</v>
      </c>
    </row>
    <row r="6" customFormat="false" ht="15" hidden="false" customHeight="true" outlineLevel="0" collapsed="false">
      <c r="A6" s="97" t="s">
        <v>205</v>
      </c>
      <c r="B6" s="49" t="n">
        <v>89.9</v>
      </c>
    </row>
    <row r="7" customFormat="false" ht="15" hidden="false" customHeight="true" outlineLevel="0" collapsed="false">
      <c r="A7" s="97" t="s">
        <v>206</v>
      </c>
      <c r="B7" s="49" t="n">
        <v>94.9</v>
      </c>
    </row>
    <row r="8" customFormat="false" ht="15" hidden="false" customHeight="true" outlineLevel="0" collapsed="false">
      <c r="A8" s="97" t="s">
        <v>207</v>
      </c>
      <c r="B8" s="50" t="n">
        <v>95000</v>
      </c>
    </row>
    <row r="9" customFormat="false" ht="15" hidden="false" customHeight="true" outlineLevel="0" collapsed="false">
      <c r="A9" s="97" t="s">
        <v>208</v>
      </c>
      <c r="B9" s="98" t="n">
        <v>-0.48</v>
      </c>
    </row>
    <row r="11" customFormat="false" ht="21.75" hidden="false" customHeight="true" outlineLevel="0" collapsed="false">
      <c r="A11" s="4" t="s">
        <v>209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customFormat="false" ht="49.5" hidden="false" customHeight="true" outlineLevel="0" collapsed="false">
      <c r="A12" s="31" t="s">
        <v>59</v>
      </c>
      <c r="B12" s="31" t="s">
        <v>210</v>
      </c>
      <c r="C12" s="31" t="s">
        <v>211</v>
      </c>
      <c r="D12" s="31" t="s">
        <v>212</v>
      </c>
      <c r="E12" s="31" t="s">
        <v>213</v>
      </c>
      <c r="F12" s="31" t="s">
        <v>214</v>
      </c>
      <c r="G12" s="31" t="s">
        <v>215</v>
      </c>
      <c r="H12" s="31" t="s">
        <v>216</v>
      </c>
      <c r="I12" s="31" t="s">
        <v>217</v>
      </c>
      <c r="J12" s="31" t="s">
        <v>218</v>
      </c>
      <c r="K12" s="31" t="s">
        <v>219</v>
      </c>
    </row>
    <row r="13" customFormat="false" ht="15" hidden="false" customHeight="true" outlineLevel="0" collapsed="false">
      <c r="A13" s="48" t="s">
        <v>70</v>
      </c>
      <c r="B13" s="35" t="n">
        <v>0.82</v>
      </c>
      <c r="C13" s="99" t="n">
        <f aca="false">B13/AVERAGE($B$13:$B$24)</f>
        <v>0.792908944399678</v>
      </c>
      <c r="D13" s="71" t="n">
        <f aca="false">($B$7-$B$6)/$B$6</f>
        <v>0.0556173526140156</v>
      </c>
      <c r="E13" s="71" t="n">
        <f aca="false">$B$9*D13*(1-(B13-1)*0.4)</f>
        <v>-0.0286184649610679</v>
      </c>
      <c r="F13" s="72" t="n">
        <f aca="false">ROUND($B$8*E13,0)</f>
        <v>-2719</v>
      </c>
      <c r="G13" s="100" t="n">
        <f aca="false">$B$6*$B$8</f>
        <v>8540500</v>
      </c>
      <c r="H13" s="100" t="n">
        <f aca="false">$B$7*($B$8+F13)</f>
        <v>8757466.9</v>
      </c>
      <c r="I13" s="101" t="n">
        <f aca="false">H13-G13</f>
        <v>216966.9</v>
      </c>
      <c r="J13" s="70" t="n">
        <f aca="false">I13*12/1000000</f>
        <v>2.6036028</v>
      </c>
      <c r="K13" s="37" t="n">
        <f aca="false">RANK(I13,$I$13:$I$24,0)</f>
        <v>11</v>
      </c>
    </row>
    <row r="14" customFormat="false" ht="15" hidden="false" customHeight="true" outlineLevel="0" collapsed="false">
      <c r="A14" s="59" t="s">
        <v>77</v>
      </c>
      <c r="B14" s="42" t="n">
        <v>0.78</v>
      </c>
      <c r="C14" s="102" t="n">
        <f aca="false">B14/AVERAGE($B$13:$B$24)</f>
        <v>0.754230459307011</v>
      </c>
      <c r="D14" s="77" t="n">
        <f aca="false">($B$7-$B$6)/$B$6</f>
        <v>0.0556173526140156</v>
      </c>
      <c r="E14" s="77" t="n">
        <f aca="false">$B$9*D14*(1-(B14-1)*0.4)</f>
        <v>-0.0290456062291435</v>
      </c>
      <c r="F14" s="72" t="n">
        <f aca="false">ROUND($B$8*E14,0)</f>
        <v>-2759</v>
      </c>
      <c r="G14" s="103" t="n">
        <f aca="false">$B$6*$B$8</f>
        <v>8540500</v>
      </c>
      <c r="H14" s="103" t="n">
        <f aca="false">$B$7*($B$8+F14)</f>
        <v>8753670.9</v>
      </c>
      <c r="I14" s="104" t="n">
        <f aca="false">H14-G14</f>
        <v>213170.9</v>
      </c>
      <c r="J14" s="76" t="n">
        <f aca="false">I14*12/1000000</f>
        <v>2.5580508</v>
      </c>
      <c r="K14" s="44" t="n">
        <f aca="false">RANK(I14,$I$13:$I$24,0)</f>
        <v>12</v>
      </c>
    </row>
    <row r="15" customFormat="false" ht="15" hidden="false" customHeight="true" outlineLevel="0" collapsed="false">
      <c r="A15" s="48" t="s">
        <v>78</v>
      </c>
      <c r="B15" s="35" t="n">
        <v>0.91</v>
      </c>
      <c r="C15" s="99" t="n">
        <f aca="false">B15/AVERAGE($B$13:$B$24)</f>
        <v>0.879935535858179</v>
      </c>
      <c r="D15" s="71" t="n">
        <f aca="false">($B$7-$B$6)/$B$6</f>
        <v>0.0556173526140156</v>
      </c>
      <c r="E15" s="71" t="n">
        <f aca="false">$B$9*D15*(1-(B15-1)*0.4)</f>
        <v>-0.0276573971078977</v>
      </c>
      <c r="F15" s="72" t="n">
        <f aca="false">ROUND($B$8*E15,0)</f>
        <v>-2627</v>
      </c>
      <c r="G15" s="100" t="n">
        <f aca="false">$B$6*$B$8</f>
        <v>8540500</v>
      </c>
      <c r="H15" s="100" t="n">
        <f aca="false">$B$7*($B$8+F15)</f>
        <v>8766197.7</v>
      </c>
      <c r="I15" s="101" t="n">
        <f aca="false">H15-G15</f>
        <v>225697.700000001</v>
      </c>
      <c r="J15" s="70" t="n">
        <f aca="false">I15*12/1000000</f>
        <v>2.70837240000001</v>
      </c>
      <c r="K15" s="37" t="n">
        <f aca="false">RANK(I15,$I$13:$I$24,0)</f>
        <v>10</v>
      </c>
    </row>
    <row r="16" customFormat="false" ht="15" hidden="false" customHeight="true" outlineLevel="0" collapsed="false">
      <c r="A16" s="59" t="s">
        <v>79</v>
      </c>
      <c r="B16" s="42" t="n">
        <v>0.95</v>
      </c>
      <c r="C16" s="102" t="n">
        <f aca="false">B16/AVERAGE($B$13:$B$24)</f>
        <v>0.918614020950846</v>
      </c>
      <c r="D16" s="77" t="n">
        <f aca="false">($B$7-$B$6)/$B$6</f>
        <v>0.0556173526140156</v>
      </c>
      <c r="E16" s="77" t="n">
        <f aca="false">$B$9*D16*(1-(B16-1)*0.4)</f>
        <v>-0.027230255839822</v>
      </c>
      <c r="F16" s="72" t="n">
        <f aca="false">ROUND($B$8*E16,0)</f>
        <v>-2587</v>
      </c>
      <c r="G16" s="103" t="n">
        <f aca="false">$B$6*$B$8</f>
        <v>8540500</v>
      </c>
      <c r="H16" s="103" t="n">
        <f aca="false">$B$7*($B$8+F16)</f>
        <v>8769993.7</v>
      </c>
      <c r="I16" s="104" t="n">
        <f aca="false">H16-G16</f>
        <v>229493.700000001</v>
      </c>
      <c r="J16" s="76" t="n">
        <f aca="false">I16*12/1000000</f>
        <v>2.75392440000001</v>
      </c>
      <c r="K16" s="44" t="n">
        <f aca="false">RANK(I16,$I$13:$I$24,0)</f>
        <v>9</v>
      </c>
    </row>
    <row r="17" customFormat="false" ht="15" hidden="false" customHeight="true" outlineLevel="0" collapsed="false">
      <c r="A17" s="48" t="s">
        <v>80</v>
      </c>
      <c r="B17" s="35" t="n">
        <v>1.1</v>
      </c>
      <c r="C17" s="99" t="n">
        <f aca="false">B17/AVERAGE($B$13:$B$24)</f>
        <v>1.06365834004835</v>
      </c>
      <c r="D17" s="71" t="n">
        <f aca="false">($B$7-$B$6)/$B$6</f>
        <v>0.0556173526140156</v>
      </c>
      <c r="E17" s="71" t="n">
        <f aca="false">$B$9*D17*(1-(B17-1)*0.4)</f>
        <v>-0.0256284760845384</v>
      </c>
      <c r="F17" s="72" t="n">
        <f aca="false">ROUND($B$8*E17,0)</f>
        <v>-2435</v>
      </c>
      <c r="G17" s="100" t="n">
        <f aca="false">$B$6*$B$8</f>
        <v>8540500</v>
      </c>
      <c r="H17" s="100" t="n">
        <f aca="false">$B$7*($B$8+F17)</f>
        <v>8784418.5</v>
      </c>
      <c r="I17" s="101" t="n">
        <f aca="false">H17-G17</f>
        <v>243918.5</v>
      </c>
      <c r="J17" s="70" t="n">
        <f aca="false">I17*12/1000000</f>
        <v>2.927022</v>
      </c>
      <c r="K17" s="37" t="n">
        <f aca="false">RANK(I17,$I$13:$I$24,0)</f>
        <v>4</v>
      </c>
    </row>
    <row r="18" customFormat="false" ht="15" hidden="false" customHeight="true" outlineLevel="0" collapsed="false">
      <c r="A18" s="59" t="s">
        <v>81</v>
      </c>
      <c r="B18" s="42" t="n">
        <v>1.05</v>
      </c>
      <c r="C18" s="102" t="n">
        <f aca="false">B18/AVERAGE($B$13:$B$24)</f>
        <v>1.01531023368251</v>
      </c>
      <c r="D18" s="77" t="n">
        <f aca="false">($B$7-$B$6)/$B$6</f>
        <v>0.0556173526140156</v>
      </c>
      <c r="E18" s="77" t="n">
        <f aca="false">$B$9*D18*(1-(B18-1)*0.4)</f>
        <v>-0.0261624026696329</v>
      </c>
      <c r="F18" s="72" t="n">
        <f aca="false">ROUND($B$8*E18,0)</f>
        <v>-2485</v>
      </c>
      <c r="G18" s="103" t="n">
        <f aca="false">$B$6*$B$8</f>
        <v>8540500</v>
      </c>
      <c r="H18" s="103" t="n">
        <f aca="false">$B$7*($B$8+F18)</f>
        <v>8779673.5</v>
      </c>
      <c r="I18" s="104" t="n">
        <f aca="false">H18-G18</f>
        <v>239173.5</v>
      </c>
      <c r="J18" s="76" t="n">
        <f aca="false">I18*12/1000000</f>
        <v>2.870082</v>
      </c>
      <c r="K18" s="44" t="n">
        <f aca="false">RANK(I18,$I$13:$I$24,0)</f>
        <v>6</v>
      </c>
    </row>
    <row r="19" customFormat="false" ht="15" hidden="false" customHeight="true" outlineLevel="0" collapsed="false">
      <c r="A19" s="48" t="s">
        <v>82</v>
      </c>
      <c r="B19" s="35" t="n">
        <v>0.98</v>
      </c>
      <c r="C19" s="99" t="n">
        <f aca="false">B19/AVERAGE($B$13:$B$24)</f>
        <v>0.947622884770347</v>
      </c>
      <c r="D19" s="71" t="n">
        <f aca="false">($B$7-$B$6)/$B$6</f>
        <v>0.0556173526140156</v>
      </c>
      <c r="E19" s="71" t="n">
        <f aca="false">$B$9*D19*(1-(B19-1)*0.4)</f>
        <v>-0.0269098998887653</v>
      </c>
      <c r="F19" s="72" t="n">
        <f aca="false">ROUND($B$8*E19,0)</f>
        <v>-2556</v>
      </c>
      <c r="G19" s="100" t="n">
        <f aca="false">$B$6*$B$8</f>
        <v>8540500</v>
      </c>
      <c r="H19" s="100" t="n">
        <f aca="false">$B$7*($B$8+F19)</f>
        <v>8772935.6</v>
      </c>
      <c r="I19" s="101" t="n">
        <f aca="false">H19-G19</f>
        <v>232435.6</v>
      </c>
      <c r="J19" s="70" t="n">
        <f aca="false">I19*12/1000000</f>
        <v>2.7892272</v>
      </c>
      <c r="K19" s="37" t="n">
        <f aca="false">RANK(I19,$I$13:$I$24,0)</f>
        <v>8</v>
      </c>
    </row>
    <row r="20" customFormat="false" ht="15" hidden="false" customHeight="true" outlineLevel="0" collapsed="false">
      <c r="A20" s="59" t="s">
        <v>83</v>
      </c>
      <c r="B20" s="42" t="n">
        <v>1.02</v>
      </c>
      <c r="C20" s="102" t="n">
        <f aca="false">B20/AVERAGE($B$13:$B$24)</f>
        <v>0.986301369863014</v>
      </c>
      <c r="D20" s="77" t="n">
        <f aca="false">($B$7-$B$6)/$B$6</f>
        <v>0.0556173526140156</v>
      </c>
      <c r="E20" s="77" t="n">
        <f aca="false">$B$9*D20*(1-(B20-1)*0.4)</f>
        <v>-0.0264827586206897</v>
      </c>
      <c r="F20" s="72" t="n">
        <f aca="false">ROUND($B$8*E20,0)</f>
        <v>-2516</v>
      </c>
      <c r="G20" s="103" t="n">
        <f aca="false">$B$6*$B$8</f>
        <v>8540500</v>
      </c>
      <c r="H20" s="103" t="n">
        <f aca="false">$B$7*($B$8+F20)</f>
        <v>8776731.6</v>
      </c>
      <c r="I20" s="104" t="n">
        <f aca="false">H20-G20</f>
        <v>236231.6</v>
      </c>
      <c r="J20" s="76" t="n">
        <f aca="false">I20*12/1000000</f>
        <v>2.8347792</v>
      </c>
      <c r="K20" s="44" t="n">
        <f aca="false">RANK(I20,$I$13:$I$24,0)</f>
        <v>7</v>
      </c>
    </row>
    <row r="21" customFormat="false" ht="15" hidden="false" customHeight="true" outlineLevel="0" collapsed="false">
      <c r="A21" s="48" t="s">
        <v>84</v>
      </c>
      <c r="B21" s="35" t="n">
        <v>1.08</v>
      </c>
      <c r="C21" s="99" t="n">
        <f aca="false">B21/AVERAGE($B$13:$B$24)</f>
        <v>1.04431909750201</v>
      </c>
      <c r="D21" s="71" t="n">
        <f aca="false">($B$7-$B$6)/$B$6</f>
        <v>0.0556173526140156</v>
      </c>
      <c r="E21" s="71" t="n">
        <f aca="false">$B$9*D21*(1-(B21-1)*0.4)</f>
        <v>-0.0258420467185762</v>
      </c>
      <c r="F21" s="72" t="n">
        <f aca="false">ROUND($B$8*E21,0)</f>
        <v>-2455</v>
      </c>
      <c r="G21" s="100" t="n">
        <f aca="false">$B$6*$B$8</f>
        <v>8540500</v>
      </c>
      <c r="H21" s="100" t="n">
        <f aca="false">$B$7*($B$8+F21)</f>
        <v>8782520.5</v>
      </c>
      <c r="I21" s="101" t="n">
        <f aca="false">H21-G21</f>
        <v>242020.5</v>
      </c>
      <c r="J21" s="70" t="n">
        <f aca="false">I21*12/1000000</f>
        <v>2.904246</v>
      </c>
      <c r="K21" s="37" t="n">
        <f aca="false">RANK(I21,$I$13:$I$24,0)</f>
        <v>5</v>
      </c>
    </row>
    <row r="22" customFormat="false" ht="15" hidden="false" customHeight="true" outlineLevel="0" collapsed="false">
      <c r="A22" s="59" t="s">
        <v>85</v>
      </c>
      <c r="B22" s="42" t="n">
        <v>1.12</v>
      </c>
      <c r="C22" s="102" t="n">
        <f aca="false">B22/AVERAGE($B$13:$B$24)</f>
        <v>1.08299758259468</v>
      </c>
      <c r="D22" s="77" t="n">
        <f aca="false">($B$7-$B$6)/$B$6</f>
        <v>0.0556173526140156</v>
      </c>
      <c r="E22" s="77" t="n">
        <f aca="false">$B$9*D22*(1-(B22-1)*0.4)</f>
        <v>-0.0254149054505006</v>
      </c>
      <c r="F22" s="72" t="n">
        <f aca="false">ROUND($B$8*E22,0)</f>
        <v>-2414</v>
      </c>
      <c r="G22" s="103" t="n">
        <f aca="false">$B$6*$B$8</f>
        <v>8540500</v>
      </c>
      <c r="H22" s="103" t="n">
        <f aca="false">$B$7*($B$8+F22)</f>
        <v>8786411.4</v>
      </c>
      <c r="I22" s="104" t="n">
        <f aca="false">H22-G22</f>
        <v>245911.4</v>
      </c>
      <c r="J22" s="76" t="n">
        <f aca="false">I22*12/1000000</f>
        <v>2.9509368</v>
      </c>
      <c r="K22" s="44" t="n">
        <f aca="false">RANK(I22,$I$13:$I$24,0)</f>
        <v>3</v>
      </c>
    </row>
    <row r="23" customFormat="false" ht="15" hidden="false" customHeight="true" outlineLevel="0" collapsed="false">
      <c r="A23" s="105" t="s">
        <v>86</v>
      </c>
      <c r="B23" s="87" t="n">
        <v>1.35</v>
      </c>
      <c r="C23" s="99" t="n">
        <f aca="false">B23/AVERAGE($B$13:$B$24)</f>
        <v>1.30539887187752</v>
      </c>
      <c r="D23" s="71" t="n">
        <f aca="false">($B$7-$B$6)/$B$6</f>
        <v>0.0556173526140156</v>
      </c>
      <c r="E23" s="71" t="n">
        <f aca="false">$B$9*D23*(1-(B23-1)*0.4)</f>
        <v>-0.0229588431590656</v>
      </c>
      <c r="F23" s="75" t="n">
        <f aca="false">ROUND($B$8*E23,0)</f>
        <v>-2181</v>
      </c>
      <c r="G23" s="100" t="n">
        <f aca="false">$B$6*$B$8</f>
        <v>8540500</v>
      </c>
      <c r="H23" s="100" t="n">
        <f aca="false">$B$7*($B$8+F23)</f>
        <v>8808523.1</v>
      </c>
      <c r="I23" s="106" t="n">
        <f aca="false">H23-G23</f>
        <v>268023.1</v>
      </c>
      <c r="J23" s="57" t="n">
        <f aca="false">I23*12/1000000</f>
        <v>3.2162772</v>
      </c>
      <c r="K23" s="75" t="n">
        <f aca="false">RANK(I23,$I$13:$I$24,0)</f>
        <v>1</v>
      </c>
    </row>
    <row r="24" customFormat="false" ht="15" hidden="false" customHeight="true" outlineLevel="0" collapsed="false">
      <c r="A24" s="105" t="s">
        <v>87</v>
      </c>
      <c r="B24" s="87" t="n">
        <v>1.25</v>
      </c>
      <c r="C24" s="102" t="n">
        <f aca="false">B24/AVERAGE($B$13:$B$24)</f>
        <v>1.20870265914585</v>
      </c>
      <c r="D24" s="77" t="n">
        <f aca="false">($B$7-$B$6)/$B$6</f>
        <v>0.0556173526140156</v>
      </c>
      <c r="E24" s="77" t="n">
        <f aca="false">$B$9*D24*(1-(B24-1)*0.4)</f>
        <v>-0.0240266963292547</v>
      </c>
      <c r="F24" s="75" t="n">
        <f aca="false">ROUND($B$8*E24,0)</f>
        <v>-2283</v>
      </c>
      <c r="G24" s="103" t="n">
        <f aca="false">$B$6*$B$8</f>
        <v>8540500</v>
      </c>
      <c r="H24" s="103" t="n">
        <f aca="false">$B$7*($B$8+F24)</f>
        <v>8798843.3</v>
      </c>
      <c r="I24" s="106" t="n">
        <f aca="false">H24-G24</f>
        <v>258343.300000001</v>
      </c>
      <c r="J24" s="57" t="n">
        <f aca="false">I24*12/1000000</f>
        <v>3.10011960000001</v>
      </c>
      <c r="K24" s="75" t="n">
        <f aca="false">RANK(I24,$I$13:$I$24,0)</f>
        <v>2</v>
      </c>
    </row>
    <row r="26" customFormat="false" ht="21.75" hidden="false" customHeight="true" outlineLevel="0" collapsed="false">
      <c r="A26" s="4" t="s">
        <v>220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customFormat="false" ht="15" hidden="false" customHeight="true" outlineLevel="0" collapsed="false">
      <c r="A27" s="91" t="s">
        <v>221</v>
      </c>
      <c r="B27" s="91"/>
      <c r="C27" s="107" t="str">
        <f aca="false">INDEX($A$13:$A$24,MATCH(MAX($I$13:$I$24),$I$13:$I$24,0))</f>
        <v>Nov</v>
      </c>
    </row>
    <row r="28" customFormat="false" ht="17.25" hidden="false" customHeight="true" outlineLevel="0" collapsed="false">
      <c r="A28" s="91" t="s">
        <v>222</v>
      </c>
      <c r="B28" s="91"/>
      <c r="C28" s="108" t="n">
        <f aca="false">MAX($J$13:$J$24)</f>
        <v>3.2162772</v>
      </c>
    </row>
    <row r="29" customFormat="false" ht="17.25" hidden="false" customHeight="true" outlineLevel="0" collapsed="false">
      <c r="A29" s="91" t="s">
        <v>223</v>
      </c>
      <c r="B29" s="91"/>
      <c r="C29" s="109" t="n">
        <f aca="false">MIN($J$13:$J$24)</f>
        <v>2.5580508</v>
      </c>
    </row>
    <row r="30" customFormat="false" ht="17.25" hidden="false" customHeight="true" outlineLevel="0" collapsed="false">
      <c r="A30" s="91" t="s">
        <v>224</v>
      </c>
      <c r="B30" s="91"/>
      <c r="C30" s="110" t="n">
        <f aca="false">MAX($J$13:$J$24)-MIN($J$13:$J$24)</f>
        <v>0.658226399999991</v>
      </c>
    </row>
  </sheetData>
  <mergeCells count="9">
    <mergeCell ref="A1:N1"/>
    <mergeCell ref="A2:N2"/>
    <mergeCell ref="A4:L4"/>
    <mergeCell ref="A11:N11"/>
    <mergeCell ref="A26:N26"/>
    <mergeCell ref="A27:B27"/>
    <mergeCell ref="A28:B28"/>
    <mergeCell ref="A29:B29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4" min="4" style="1" width="13"/>
    <col collapsed="false" customWidth="true" hidden="false" outlineLevel="0" max="6" min="5" style="1" width="12"/>
    <col collapsed="false" customWidth="true" hidden="false" outlineLevel="0" max="7" min="7" style="1" width="14"/>
    <col collapsed="false" customWidth="true" hidden="false" outlineLevel="0" max="9" min="8" style="1" width="12"/>
    <col collapsed="false" customWidth="true" hidden="false" outlineLevel="0" max="10" min="10" style="1" width="14"/>
    <col collapsed="false" customWidth="true" hidden="false" outlineLevel="0" max="12" min="11" style="1" width="12"/>
    <col collapsed="false" customWidth="true" hidden="false" outlineLevel="0" max="13" min="13" style="1" width="14"/>
    <col collapsed="false" customWidth="true" hidden="false" outlineLevel="0" max="14" min="14" style="1" width="12"/>
  </cols>
  <sheetData>
    <row r="1" customFormat="false" ht="30" hidden="false" customHeight="true" outlineLevel="0" collapsed="false">
      <c r="A1" s="19" t="s">
        <v>225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customFormat="false" ht="15" hidden="false" customHeight="true" outlineLevel="0" collapsed="false">
      <c r="A2" s="3" t="s">
        <v>226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227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39.75" hidden="false" customHeight="true" outlineLevel="0" collapsed="false">
      <c r="A5" s="31" t="s">
        <v>228</v>
      </c>
      <c r="B5" s="31" t="s">
        <v>71</v>
      </c>
      <c r="C5" s="31" t="s">
        <v>186</v>
      </c>
      <c r="D5" s="31" t="s">
        <v>73</v>
      </c>
      <c r="E5" s="31" t="s">
        <v>187</v>
      </c>
      <c r="F5" s="31" t="s">
        <v>75</v>
      </c>
      <c r="G5" s="31" t="s">
        <v>229</v>
      </c>
      <c r="H5" s="31" t="s">
        <v>230</v>
      </c>
      <c r="I5" s="31" t="s">
        <v>231</v>
      </c>
      <c r="J5" s="31" t="s">
        <v>232</v>
      </c>
      <c r="K5" s="31" t="s">
        <v>233</v>
      </c>
    </row>
    <row r="6" customFormat="false" ht="15" hidden="false" customHeight="true" outlineLevel="0" collapsed="false">
      <c r="A6" s="111" t="s">
        <v>234</v>
      </c>
      <c r="B6" s="112" t="s">
        <v>235</v>
      </c>
      <c r="C6" s="112" t="s">
        <v>235</v>
      </c>
      <c r="D6" s="112" t="s">
        <v>235</v>
      </c>
      <c r="E6" s="39" t="s">
        <v>236</v>
      </c>
      <c r="F6" s="39" t="s">
        <v>236</v>
      </c>
      <c r="G6" s="112" t="s">
        <v>235</v>
      </c>
      <c r="H6" s="32" t="n">
        <v>1</v>
      </c>
      <c r="I6" s="32" t="s">
        <v>237</v>
      </c>
      <c r="J6" s="113" t="n">
        <v>49.9</v>
      </c>
      <c r="K6" s="86" t="n">
        <v>-1.12</v>
      </c>
    </row>
    <row r="7" customFormat="false" ht="15" hidden="false" customHeight="true" outlineLevel="0" collapsed="false">
      <c r="A7" s="114" t="s">
        <v>238</v>
      </c>
      <c r="B7" s="39" t="s">
        <v>236</v>
      </c>
      <c r="C7" s="112" t="s">
        <v>235</v>
      </c>
      <c r="D7" s="39" t="s">
        <v>236</v>
      </c>
      <c r="E7" s="39" t="s">
        <v>236</v>
      </c>
      <c r="F7" s="39" t="s">
        <v>236</v>
      </c>
      <c r="G7" s="112" t="s">
        <v>235</v>
      </c>
      <c r="H7" s="40" t="n">
        <v>2</v>
      </c>
      <c r="I7" s="40" t="s">
        <v>237</v>
      </c>
      <c r="J7" s="113" t="n">
        <v>99.9</v>
      </c>
      <c r="K7" s="86" t="n">
        <v>-0.72</v>
      </c>
    </row>
    <row r="8" customFormat="false" ht="15" hidden="false" customHeight="true" outlineLevel="0" collapsed="false">
      <c r="A8" s="111" t="s">
        <v>239</v>
      </c>
      <c r="B8" s="39" t="s">
        <v>236</v>
      </c>
      <c r="C8" s="39" t="s">
        <v>236</v>
      </c>
      <c r="D8" s="39" t="s">
        <v>236</v>
      </c>
      <c r="E8" s="39" t="s">
        <v>236</v>
      </c>
      <c r="F8" s="39" t="s">
        <v>236</v>
      </c>
      <c r="G8" s="39" t="s">
        <v>236</v>
      </c>
      <c r="H8" s="32" t="n">
        <v>4</v>
      </c>
      <c r="I8" s="32" t="s">
        <v>240</v>
      </c>
      <c r="J8" s="113" t="n">
        <v>179.9</v>
      </c>
      <c r="K8" s="86" t="n">
        <v>-0.62</v>
      </c>
    </row>
    <row r="9" customFormat="false" ht="15" hidden="false" customHeight="true" outlineLevel="0" collapsed="false">
      <c r="A9" s="114" t="s">
        <v>241</v>
      </c>
      <c r="B9" s="112" t="s">
        <v>235</v>
      </c>
      <c r="C9" s="112" t="s">
        <v>235</v>
      </c>
      <c r="D9" s="39" t="s">
        <v>236</v>
      </c>
      <c r="E9" s="39" t="s">
        <v>236</v>
      </c>
      <c r="F9" s="39" t="s">
        <v>236</v>
      </c>
      <c r="G9" s="112" t="s">
        <v>235</v>
      </c>
      <c r="H9" s="40" t="n">
        <v>3</v>
      </c>
      <c r="I9" s="40" t="s">
        <v>237</v>
      </c>
      <c r="J9" s="113" t="n">
        <v>84.9</v>
      </c>
      <c r="K9" s="86" t="n">
        <v>-0.85</v>
      </c>
    </row>
    <row r="10" customFormat="false" ht="15" hidden="false" customHeight="true" outlineLevel="0" collapsed="false">
      <c r="A10" s="111" t="s">
        <v>242</v>
      </c>
      <c r="B10" s="39" t="s">
        <v>236</v>
      </c>
      <c r="C10" s="39" t="s">
        <v>236</v>
      </c>
      <c r="D10" s="112" t="s">
        <v>235</v>
      </c>
      <c r="E10" s="112" t="s">
        <v>235</v>
      </c>
      <c r="F10" s="112" t="s">
        <v>235</v>
      </c>
      <c r="G10" s="112" t="s">
        <v>235</v>
      </c>
      <c r="H10" s="32" t="n">
        <v>2</v>
      </c>
      <c r="I10" s="32" t="s">
        <v>237</v>
      </c>
      <c r="J10" s="113" t="n">
        <v>89.9</v>
      </c>
      <c r="K10" s="86" t="n">
        <v>-0.55</v>
      </c>
    </row>
    <row r="11" customFormat="false" ht="15" hidden="false" customHeight="true" outlineLevel="0" collapsed="false">
      <c r="A11" s="114" t="s">
        <v>243</v>
      </c>
      <c r="B11" s="39" t="s">
        <v>236</v>
      </c>
      <c r="C11" s="112" t="s">
        <v>235</v>
      </c>
      <c r="D11" s="112" t="s">
        <v>235</v>
      </c>
      <c r="E11" s="112" t="s">
        <v>235</v>
      </c>
      <c r="F11" s="112" t="s">
        <v>235</v>
      </c>
      <c r="G11" s="112" t="s">
        <v>235</v>
      </c>
      <c r="H11" s="40" t="n">
        <v>1</v>
      </c>
      <c r="I11" s="40" t="s">
        <v>237</v>
      </c>
      <c r="J11" s="113" t="n">
        <v>39.9</v>
      </c>
      <c r="K11" s="86" t="n">
        <v>-0.48</v>
      </c>
    </row>
    <row r="14" customFormat="false" ht="21.75" hidden="false" customHeight="true" outlineLevel="0" collapsed="false">
      <c r="A14" s="4" t="s">
        <v>244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45" hidden="false" customHeight="true" outlineLevel="0" collapsed="false">
      <c r="A15" s="31" t="s">
        <v>245</v>
      </c>
      <c r="B15" s="31" t="s">
        <v>246</v>
      </c>
      <c r="C15" s="31" t="s">
        <v>247</v>
      </c>
      <c r="D15" s="31" t="s">
        <v>248</v>
      </c>
      <c r="E15" s="31" t="s">
        <v>249</v>
      </c>
      <c r="F15" s="31" t="s">
        <v>250</v>
      </c>
      <c r="G15" s="31" t="s">
        <v>251</v>
      </c>
      <c r="H15" s="31" t="s">
        <v>252</v>
      </c>
      <c r="I15" s="31" t="s">
        <v>253</v>
      </c>
      <c r="J15" s="31" t="s">
        <v>141</v>
      </c>
      <c r="K15" s="31" t="s">
        <v>254</v>
      </c>
      <c r="L15" s="31" t="s">
        <v>255</v>
      </c>
      <c r="M15" s="31" t="s">
        <v>256</v>
      </c>
      <c r="N15" s="31" t="s">
        <v>257</v>
      </c>
    </row>
    <row r="16" customFormat="false" ht="15" hidden="false" customHeight="true" outlineLevel="0" collapsed="false">
      <c r="A16" s="48" t="s">
        <v>234</v>
      </c>
      <c r="B16" s="49" t="n">
        <v>49.9</v>
      </c>
      <c r="C16" s="98" t="n">
        <v>-1.12</v>
      </c>
      <c r="D16" s="50" t="n">
        <v>68000</v>
      </c>
      <c r="E16" s="70" t="n">
        <f aca="false">B16*0.85</f>
        <v>42.415</v>
      </c>
      <c r="F16" s="115" t="n">
        <f aca="false">D16*(0.85^C16)</f>
        <v>81575.4946506196</v>
      </c>
      <c r="G16" s="116" t="n">
        <f aca="false">E16*F16/1000000</f>
        <v>3.46002460560603</v>
      </c>
      <c r="H16" s="117" t="n">
        <f aca="false">B16</f>
        <v>49.9</v>
      </c>
      <c r="I16" s="118" t="n">
        <f aca="false">D16</f>
        <v>68000</v>
      </c>
      <c r="J16" s="55" t="n">
        <f aca="false">B16*D16/1000000</f>
        <v>3.3932</v>
      </c>
      <c r="K16" s="70" t="n">
        <f aca="false">B16*1.15</f>
        <v>57.385</v>
      </c>
      <c r="L16" s="119" t="n">
        <f aca="false">D16*(1.15^C16)</f>
        <v>58147.0024884459</v>
      </c>
      <c r="M16" s="57" t="n">
        <f aca="false">K16*L16/1000000</f>
        <v>3.33676573779947</v>
      </c>
      <c r="N16" s="111" t="str">
        <f aca="false">_xlfn.IFS(M16&gt;J16*1.02,"Aumentar",G16&gt;J16*1.02,"Reduzir",TRUE(),"Manter")</f>
        <v>Manter</v>
      </c>
    </row>
    <row r="17" customFormat="false" ht="15" hidden="false" customHeight="true" outlineLevel="0" collapsed="false">
      <c r="A17" s="59" t="s">
        <v>238</v>
      </c>
      <c r="B17" s="49" t="n">
        <v>99.9</v>
      </c>
      <c r="C17" s="98" t="n">
        <v>-0.72</v>
      </c>
      <c r="D17" s="50" t="n">
        <v>180000</v>
      </c>
      <c r="E17" s="76" t="n">
        <f aca="false">B17*0.85</f>
        <v>84.915</v>
      </c>
      <c r="F17" s="115" t="n">
        <f aca="false">D17*(0.85^C17)</f>
        <v>202344.255123595</v>
      </c>
      <c r="G17" s="116" t="n">
        <f aca="false">E17*F17/1000000</f>
        <v>17.1820624238201</v>
      </c>
      <c r="H17" s="117" t="n">
        <f aca="false">B17</f>
        <v>99.9</v>
      </c>
      <c r="I17" s="118" t="n">
        <f aca="false">D17</f>
        <v>180000</v>
      </c>
      <c r="J17" s="55" t="n">
        <f aca="false">B17*D17/1000000</f>
        <v>17.982</v>
      </c>
      <c r="K17" s="76" t="n">
        <f aca="false">B17*1.15</f>
        <v>114.885</v>
      </c>
      <c r="L17" s="119" t="n">
        <f aca="false">D17*(1.15^C17)</f>
        <v>162768.387116267</v>
      </c>
      <c r="M17" s="57" t="n">
        <f aca="false">K17*L17/1000000</f>
        <v>18.6996461538523</v>
      </c>
      <c r="N17" s="114" t="str">
        <f aca="false">_xlfn.IFS(M17&gt;J17*1.02,"Aumentar",G17&gt;J17*1.02,"Reduzir",TRUE(),"Manter")</f>
        <v>Aumentar</v>
      </c>
    </row>
    <row r="18" customFormat="false" ht="15" hidden="false" customHeight="true" outlineLevel="0" collapsed="false">
      <c r="A18" s="48" t="s">
        <v>239</v>
      </c>
      <c r="B18" s="49" t="n">
        <v>179.9</v>
      </c>
      <c r="C18" s="98" t="n">
        <v>-0.62</v>
      </c>
      <c r="D18" s="50" t="n">
        <v>95000</v>
      </c>
      <c r="E18" s="70" t="n">
        <f aca="false">B18*0.85</f>
        <v>152.915</v>
      </c>
      <c r="F18" s="115" t="n">
        <f aca="false">D18*(0.85^C18)</f>
        <v>105071.24332047</v>
      </c>
      <c r="G18" s="116" t="n">
        <f aca="false">E18*F18/1000000</f>
        <v>16.0669691723496</v>
      </c>
      <c r="H18" s="117" t="n">
        <f aca="false">B18</f>
        <v>179.9</v>
      </c>
      <c r="I18" s="118" t="n">
        <f aca="false">D18</f>
        <v>95000</v>
      </c>
      <c r="J18" s="55" t="n">
        <f aca="false">B18*D18/1000000</f>
        <v>17.0905</v>
      </c>
      <c r="K18" s="70" t="n">
        <f aca="false">B18*1.15</f>
        <v>206.885</v>
      </c>
      <c r="L18" s="119" t="n">
        <f aca="false">D18*(1.15^C18)</f>
        <v>87114.5994856202</v>
      </c>
      <c r="M18" s="57" t="n">
        <f aca="false">K18*L18/1000000</f>
        <v>18.0227039145825</v>
      </c>
      <c r="N18" s="111" t="str">
        <f aca="false">_xlfn.IFS(M18&gt;J18*1.02,"Aumentar",G18&gt;J18*1.02,"Reduzir",TRUE(),"Manter")</f>
        <v>Aumentar</v>
      </c>
    </row>
    <row r="19" customFormat="false" ht="15" hidden="false" customHeight="true" outlineLevel="0" collapsed="false">
      <c r="A19" s="59" t="s">
        <v>241</v>
      </c>
      <c r="B19" s="49" t="n">
        <v>84.9</v>
      </c>
      <c r="C19" s="98" t="n">
        <v>-0.85</v>
      </c>
      <c r="D19" s="50" t="n">
        <v>120000</v>
      </c>
      <c r="E19" s="76" t="n">
        <f aca="false">B19*0.85</f>
        <v>72.165</v>
      </c>
      <c r="F19" s="115" t="n">
        <f aca="false">D19*(0.85^C19)</f>
        <v>137776.503558608</v>
      </c>
      <c r="G19" s="116" t="n">
        <f aca="false">E19*F19/1000000</f>
        <v>9.94264137930695</v>
      </c>
      <c r="H19" s="117" t="n">
        <f aca="false">B19</f>
        <v>84.9</v>
      </c>
      <c r="I19" s="118" t="n">
        <f aca="false">D19</f>
        <v>120000</v>
      </c>
      <c r="J19" s="55" t="n">
        <f aca="false">B19*D19/1000000</f>
        <v>10.188</v>
      </c>
      <c r="K19" s="76" t="n">
        <f aca="false">B19*1.15</f>
        <v>97.635</v>
      </c>
      <c r="L19" s="119" t="n">
        <f aca="false">D19*(1.15^C19)</f>
        <v>106558.495913134</v>
      </c>
      <c r="M19" s="57" t="n">
        <f aca="false">K19*L19/1000000</f>
        <v>10.4038387484788</v>
      </c>
      <c r="N19" s="114" t="str">
        <f aca="false">_xlfn.IFS(M19&gt;J19*1.02,"Aumentar",G19&gt;J19*1.02,"Reduzir",TRUE(),"Manter")</f>
        <v>Aumentar</v>
      </c>
    </row>
    <row r="20" customFormat="false" ht="15" hidden="false" customHeight="true" outlineLevel="0" collapsed="false">
      <c r="A20" s="48" t="s">
        <v>242</v>
      </c>
      <c r="B20" s="49" t="n">
        <v>89.9</v>
      </c>
      <c r="C20" s="98" t="n">
        <v>-0.55</v>
      </c>
      <c r="D20" s="50" t="n">
        <v>75000</v>
      </c>
      <c r="E20" s="70" t="n">
        <f aca="false">B20*0.85</f>
        <v>76.415</v>
      </c>
      <c r="F20" s="115" t="n">
        <f aca="false">D20*(0.85^C20)</f>
        <v>82012.6517305719</v>
      </c>
      <c r="G20" s="116" t="n">
        <f aca="false">E20*F20/1000000</f>
        <v>6.26699678199165</v>
      </c>
      <c r="H20" s="117" t="n">
        <f aca="false">B20</f>
        <v>89.9</v>
      </c>
      <c r="I20" s="118" t="n">
        <f aca="false">D20</f>
        <v>75000</v>
      </c>
      <c r="J20" s="55" t="n">
        <f aca="false">B20*D20/1000000</f>
        <v>6.7425</v>
      </c>
      <c r="K20" s="70" t="n">
        <f aca="false">B20*1.15</f>
        <v>103.385</v>
      </c>
      <c r="L20" s="119" t="n">
        <f aca="false">D20*(1.15^C20)</f>
        <v>69450.8317402376</v>
      </c>
      <c r="M20" s="57" t="n">
        <f aca="false">K20*L20/1000000</f>
        <v>7.18017423946446</v>
      </c>
      <c r="N20" s="111" t="str">
        <f aca="false">_xlfn.IFS(M20&gt;J20*1.02,"Aumentar",G20&gt;J20*1.02,"Reduzir",TRUE(),"Manter")</f>
        <v>Aumentar</v>
      </c>
    </row>
    <row r="21" customFormat="false" ht="15" hidden="false" customHeight="true" outlineLevel="0" collapsed="false">
      <c r="A21" s="59" t="s">
        <v>243</v>
      </c>
      <c r="B21" s="49" t="n">
        <v>39.9</v>
      </c>
      <c r="C21" s="98" t="n">
        <v>-0.48</v>
      </c>
      <c r="D21" s="50" t="n">
        <v>42000</v>
      </c>
      <c r="E21" s="76" t="n">
        <f aca="false">B21*0.85</f>
        <v>33.915</v>
      </c>
      <c r="F21" s="115" t="n">
        <f aca="false">D21*(0.85^C21)</f>
        <v>45407.5642426145</v>
      </c>
      <c r="G21" s="116" t="n">
        <f aca="false">E21*F21/1000000</f>
        <v>1.53999754128827</v>
      </c>
      <c r="H21" s="117" t="n">
        <f aca="false">B21</f>
        <v>39.9</v>
      </c>
      <c r="I21" s="118" t="n">
        <f aca="false">D21</f>
        <v>42000</v>
      </c>
      <c r="J21" s="55" t="n">
        <f aca="false">B21*D21/1000000</f>
        <v>1.6758</v>
      </c>
      <c r="K21" s="76" t="n">
        <f aca="false">B21*1.15</f>
        <v>45.885</v>
      </c>
      <c r="L21" s="119" t="n">
        <f aca="false">D21*(1.15^C21)</f>
        <v>39274.8311886209</v>
      </c>
      <c r="M21" s="57" t="n">
        <f aca="false">K21*L21/1000000</f>
        <v>1.80212562908987</v>
      </c>
      <c r="N21" s="114" t="str">
        <f aca="false">_xlfn.IFS(M21&gt;J21*1.02,"Aumentar",G21&gt;J21*1.02,"Reduzir",TRUE(),"Manter")</f>
        <v>Aumentar</v>
      </c>
    </row>
    <row r="22" customFormat="false" ht="15" hidden="false" customHeight="true" outlineLevel="0" collapsed="false">
      <c r="A22" s="20" t="s">
        <v>158</v>
      </c>
      <c r="B22" s="20"/>
      <c r="C22" s="20"/>
      <c r="D22" s="20"/>
      <c r="E22" s="20"/>
      <c r="F22" s="20"/>
      <c r="G22" s="63" t="n">
        <f aca="false">SUM(G16:G21)</f>
        <v>54.4586919043626</v>
      </c>
      <c r="H22" s="20"/>
      <c r="I22" s="20"/>
      <c r="J22" s="63" t="n">
        <f aca="false">SUM(J16:J21)</f>
        <v>57.072</v>
      </c>
      <c r="K22" s="20"/>
      <c r="L22" s="20"/>
      <c r="M22" s="63" t="n">
        <f aca="false">K22*L22/1000000</f>
        <v>0</v>
      </c>
      <c r="N22" s="20" t="str">
        <f aca="false">_xlfn.IFS(M22&gt;J22*1.02,"Aumentar",G22&gt;J22*1.02,"Reduzir",TRUE(),"Manter")</f>
        <v>Manter</v>
      </c>
    </row>
  </sheetData>
  <mergeCells count="4">
    <mergeCell ref="A1:N1"/>
    <mergeCell ref="A2:N2"/>
    <mergeCell ref="A4:N4"/>
    <mergeCell ref="A14:N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3"/>
    <col collapsed="false" customWidth="true" hidden="false" outlineLevel="0" max="6" min="4" style="1" width="12"/>
    <col collapsed="false" customWidth="true" hidden="false" outlineLevel="0" max="7" min="7" style="1" width="18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0" min="10" style="1" width="13"/>
    <col collapsed="false" customWidth="true" hidden="false" outlineLevel="0" max="12" min="11" style="1" width="16"/>
    <col collapsed="false" customWidth="true" hidden="false" outlineLevel="0" max="13" min="13" style="1" width="12"/>
    <col collapsed="false" customWidth="true" hidden="false" outlineLevel="0" max="14" min="14" style="1" width="14"/>
  </cols>
  <sheetData>
    <row r="1" customFormat="false" ht="30" hidden="false" customHeight="true" outlineLevel="0" collapsed="false">
      <c r="A1" s="19" t="s">
        <v>258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customFormat="false" ht="15" hidden="false" customHeight="true" outlineLevel="0" collapsed="false">
      <c r="A2" s="3" t="s">
        <v>259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1.75" hidden="false" customHeight="true" outlineLevel="0" collapsed="false">
      <c r="A4" s="4" t="s">
        <v>260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49.5" hidden="false" customHeight="true" outlineLevel="0" collapsed="false">
      <c r="A5" s="31" t="s">
        <v>61</v>
      </c>
      <c r="B5" s="31" t="s">
        <v>261</v>
      </c>
      <c r="C5" s="31" t="s">
        <v>149</v>
      </c>
      <c r="D5" s="31" t="s">
        <v>262</v>
      </c>
      <c r="E5" s="31" t="s">
        <v>263</v>
      </c>
      <c r="F5" s="31" t="s">
        <v>264</v>
      </c>
      <c r="G5" s="31" t="s">
        <v>265</v>
      </c>
      <c r="H5" s="31" t="s">
        <v>212</v>
      </c>
      <c r="I5" s="31" t="s">
        <v>266</v>
      </c>
      <c r="J5" s="31" t="s">
        <v>267</v>
      </c>
      <c r="K5" s="31" t="s">
        <v>268</v>
      </c>
      <c r="L5" s="31" t="s">
        <v>269</v>
      </c>
      <c r="M5" s="31" t="s">
        <v>270</v>
      </c>
      <c r="N5" s="31" t="s">
        <v>271</v>
      </c>
    </row>
    <row r="6" customFormat="false" ht="15" hidden="false" customHeight="true" outlineLevel="0" collapsed="false">
      <c r="A6" s="48" t="s">
        <v>71</v>
      </c>
      <c r="B6" s="56" t="n">
        <v>89.9</v>
      </c>
      <c r="C6" s="95" t="n">
        <v>95000</v>
      </c>
      <c r="D6" s="33" t="n">
        <f aca="false">OLS_Coefficients!C6</f>
        <v>-0.358798607870316</v>
      </c>
      <c r="E6" s="120" t="n">
        <f aca="false">OLS_Coefficients!I6</f>
        <v>-0.60928086137434</v>
      </c>
      <c r="F6" s="121" t="n">
        <f aca="false">OLS_Coefficients!J6</f>
        <v>-0.108316354366293</v>
      </c>
      <c r="G6" s="122" t="n">
        <v>94.9</v>
      </c>
      <c r="H6" s="123" t="n">
        <f aca="false">(G6-B6)/B6</f>
        <v>0.0556173526140156</v>
      </c>
      <c r="I6" s="123" t="n">
        <f aca="false">D6*H6</f>
        <v>-0.0199554286913413</v>
      </c>
      <c r="J6" s="74" t="n">
        <f aca="false">ROUND(C6*(1+I6),0)</f>
        <v>93104</v>
      </c>
      <c r="K6" s="101" t="n">
        <f aca="false">B6*C6</f>
        <v>8540500</v>
      </c>
      <c r="L6" s="106" t="n">
        <f aca="false">G6*J6</f>
        <v>8835569.6</v>
      </c>
      <c r="M6" s="123" t="n">
        <f aca="false">(L6-K6)/K6</f>
        <v>0.0345494526081611</v>
      </c>
      <c r="N6" s="79" t="str">
        <f aca="false">_xlfn.IFS(H6&gt;0.15,"⚠ Reajuste Alto",M6&gt;0,"✓ Receita ↑",M6&lt;-0.05,"⚠ Receita ↓","TRUE","≈ Neutro")</f>
        <v>✓ Receita ↑</v>
      </c>
    </row>
    <row r="7" customFormat="false" ht="15" hidden="false" customHeight="true" outlineLevel="0" collapsed="false">
      <c r="A7" s="59" t="s">
        <v>72</v>
      </c>
      <c r="B7" s="62" t="n">
        <v>64.9</v>
      </c>
      <c r="C7" s="93" t="n">
        <v>42000</v>
      </c>
      <c r="D7" s="33" t="n">
        <f aca="false">OLS_Coefficients!C7</f>
        <v>-0.539215682993195</v>
      </c>
      <c r="E7" s="120" t="n">
        <f aca="false">OLS_Coefficients!I7</f>
        <v>-0.800720169218054</v>
      </c>
      <c r="F7" s="121" t="n">
        <f aca="false">OLS_Coefficients!J7</f>
        <v>-0.277711196768336</v>
      </c>
      <c r="G7" s="122" t="n">
        <v>69.9</v>
      </c>
      <c r="H7" s="124" t="n">
        <f aca="false">(G7-B7)/B7</f>
        <v>0.0770416024653313</v>
      </c>
      <c r="I7" s="124" t="n">
        <f aca="false">D7*H7</f>
        <v>-0.0415420402922338</v>
      </c>
      <c r="J7" s="74" t="n">
        <f aca="false">ROUND(C7*(1+I7),0)</f>
        <v>40255</v>
      </c>
      <c r="K7" s="104" t="n">
        <f aca="false">B7*C7</f>
        <v>2725800</v>
      </c>
      <c r="L7" s="106" t="n">
        <f aca="false">G7*J7</f>
        <v>2813824.5</v>
      </c>
      <c r="M7" s="124" t="n">
        <f aca="false">(L7-K7)/K7</f>
        <v>0.0322930882676644</v>
      </c>
      <c r="N7" s="80" t="str">
        <f aca="false">_xlfn.IFS(H7&gt;0.15,"⚠ Reajuste Alto",M7&gt;0,"✓ Receita ↑",M7&lt;-0.05,"⚠ Receita ↓","TRUE","≈ Neutro")</f>
        <v>✓ Receita ↑</v>
      </c>
    </row>
    <row r="8" customFormat="false" ht="15" hidden="false" customHeight="true" outlineLevel="0" collapsed="false">
      <c r="A8" s="48" t="s">
        <v>73</v>
      </c>
      <c r="B8" s="56" t="n">
        <v>129.9</v>
      </c>
      <c r="C8" s="95" t="n">
        <v>210000</v>
      </c>
      <c r="D8" s="33" t="n">
        <f aca="false">OLS_Coefficients!C8</f>
        <v>-0.731021982850656</v>
      </c>
      <c r="E8" s="120" t="n">
        <f aca="false">OLS_Coefficients!I8</f>
        <v>-1.00311539983072</v>
      </c>
      <c r="F8" s="121" t="n">
        <f aca="false">OLS_Coefficients!J8</f>
        <v>-0.458928565870596</v>
      </c>
      <c r="G8" s="122" t="n">
        <v>139.9</v>
      </c>
      <c r="H8" s="123" t="n">
        <f aca="false">(G8-B8)/B8</f>
        <v>0.0769822940723634</v>
      </c>
      <c r="I8" s="123" t="n">
        <f aca="false">D8*H8</f>
        <v>-0.0562757492571714</v>
      </c>
      <c r="J8" s="74" t="n">
        <f aca="false">ROUND(C8*(1+I8),0)</f>
        <v>198182</v>
      </c>
      <c r="K8" s="101" t="n">
        <f aca="false">B8*C8</f>
        <v>27279000</v>
      </c>
      <c r="L8" s="106" t="n">
        <f aca="false">G8*J8</f>
        <v>27725661.8</v>
      </c>
      <c r="M8" s="123" t="n">
        <f aca="false">(L8-K8)/K8</f>
        <v>0.0163738333516625</v>
      </c>
      <c r="N8" s="79" t="str">
        <f aca="false">_xlfn.IFS(H8&gt;0.15,"⚠ Reajuste Alto",M8&gt;0,"✓ Receita ↑",M8&lt;-0.05,"⚠ Receita ↓","TRUE","≈ Neutro")</f>
        <v>✓ Receita ↑</v>
      </c>
    </row>
    <row r="9" customFormat="false" ht="15" hidden="false" customHeight="true" outlineLevel="0" collapsed="false">
      <c r="A9" s="59" t="s">
        <v>74</v>
      </c>
      <c r="B9" s="62" t="n">
        <v>49.9</v>
      </c>
      <c r="C9" s="93" t="n">
        <v>68000</v>
      </c>
      <c r="D9" s="33" t="n">
        <f aca="false">OLS_Coefficients!C9</f>
        <v>-1.35</v>
      </c>
      <c r="E9" s="120" t="n">
        <f aca="false">OLS_Coefficients!I9</f>
        <v>-1.634</v>
      </c>
      <c r="F9" s="121" t="n">
        <f aca="false">OLS_Coefficients!J9</f>
        <v>-1.066</v>
      </c>
      <c r="G9" s="122" t="n">
        <v>54.9</v>
      </c>
      <c r="H9" s="124" t="n">
        <f aca="false">(G9-B9)/B9</f>
        <v>0.100200400801603</v>
      </c>
      <c r="I9" s="124" t="n">
        <f aca="false">D9*H9</f>
        <v>-0.135270541082164</v>
      </c>
      <c r="J9" s="74" t="n">
        <f aca="false">ROUND(C9*(1+I9),0)</f>
        <v>58802</v>
      </c>
      <c r="K9" s="104" t="n">
        <f aca="false">B9*C9</f>
        <v>3393200</v>
      </c>
      <c r="L9" s="106" t="n">
        <f aca="false">G9*J9</f>
        <v>3228229.8</v>
      </c>
      <c r="M9" s="124" t="n">
        <f aca="false">(L9-K9)/K9</f>
        <v>-0.0486178828244725</v>
      </c>
      <c r="N9" s="80" t="str">
        <f aca="false">_xlfn.IFS(H9&gt;0.15,"⚠ Reajuste Alto",M9&gt;0,"✓ Receita ↑",M9&lt;-0.05,"⚠ Receita ↓","TRUE","≈ Neutro")</f>
        <v>≈ Neutro</v>
      </c>
    </row>
    <row r="10" customFormat="false" ht="15" hidden="false" customHeight="true" outlineLevel="0" collapsed="false">
      <c r="A10" s="48" t="s">
        <v>75</v>
      </c>
      <c r="B10" s="56" t="n">
        <v>39.9</v>
      </c>
      <c r="C10" s="95" t="n">
        <v>55000</v>
      </c>
      <c r="D10" s="33" t="n">
        <f aca="false">OLS_Coefficients!C10</f>
        <v>-0.72170155182422</v>
      </c>
      <c r="E10" s="120" t="n">
        <f aca="false">OLS_Coefficients!I10</f>
        <v>-1.04849027119537</v>
      </c>
      <c r="F10" s="121" t="n">
        <f aca="false">OLS_Coefficients!J10</f>
        <v>-0.394912832453074</v>
      </c>
      <c r="G10" s="122" t="n">
        <v>44.9</v>
      </c>
      <c r="H10" s="123" t="n">
        <f aca="false">(G10-B10)/B10</f>
        <v>0.12531328320802</v>
      </c>
      <c r="I10" s="123" t="n">
        <f aca="false">D10*H10</f>
        <v>-0.090438790955416</v>
      </c>
      <c r="J10" s="74" t="n">
        <f aca="false">ROUND(C10*(1+I10),0)</f>
        <v>50026</v>
      </c>
      <c r="K10" s="101" t="n">
        <f aca="false">B10*C10</f>
        <v>2194500</v>
      </c>
      <c r="L10" s="106" t="n">
        <f aca="false">G10*J10</f>
        <v>2246167.4</v>
      </c>
      <c r="M10" s="123" t="n">
        <f aca="false">(L10-K10)/K10</f>
        <v>0.0235440419229893</v>
      </c>
      <c r="N10" s="79" t="str">
        <f aca="false">_xlfn.IFS(H10&gt;0.15,"⚠ Reajuste Alto",M10&gt;0,"✓ Receita ↑",M10&lt;-0.05,"⚠ Receita ↓","TRUE","≈ Neutro")</f>
        <v>✓ Receita ↑</v>
      </c>
    </row>
    <row r="11" customFormat="false" ht="15" hidden="false" customHeight="true" outlineLevel="0" collapsed="false">
      <c r="A11" s="59" t="s">
        <v>76</v>
      </c>
      <c r="B11" s="62" t="n">
        <v>179.9</v>
      </c>
      <c r="C11" s="93" t="n">
        <v>95000</v>
      </c>
      <c r="D11" s="33" t="n">
        <f aca="false">OLS_Coefficients!C11</f>
        <v>-0.456155717841661</v>
      </c>
      <c r="E11" s="120" t="n">
        <f aca="false">OLS_Coefficients!I11</f>
        <v>-0.739497348536303</v>
      </c>
      <c r="F11" s="121" t="n">
        <f aca="false">OLS_Coefficients!J11</f>
        <v>-0.172814087147019</v>
      </c>
      <c r="G11" s="122" t="n">
        <v>189.9</v>
      </c>
      <c r="H11" s="124" t="n">
        <f aca="false">(G11-B11)/B11</f>
        <v>0.0555864369093941</v>
      </c>
      <c r="I11" s="124" t="n">
        <f aca="false">D11*H11</f>
        <v>-0.0253560710306649</v>
      </c>
      <c r="J11" s="74" t="n">
        <f aca="false">ROUND(C11*(1+I11),0)</f>
        <v>92591</v>
      </c>
      <c r="K11" s="104" t="n">
        <f aca="false">B11*C11</f>
        <v>17090500</v>
      </c>
      <c r="L11" s="106" t="n">
        <f aca="false">G11*J11</f>
        <v>17583030.9</v>
      </c>
      <c r="M11" s="124" t="n">
        <f aca="false">(L11-K11)/K11</f>
        <v>0.0288189871566076</v>
      </c>
      <c r="N11" s="80" t="str">
        <f aca="false">_xlfn.IFS(H11&gt;0.15,"⚠ Reajuste Alto",M11&gt;0,"✓ Receita ↑",M11&lt;-0.05,"⚠ Receita ↓","TRUE","≈ Neutro")</f>
        <v>✓ Receita ↑</v>
      </c>
    </row>
    <row r="12" customFormat="false" ht="15" hidden="false" customHeight="true" outlineLevel="0" collapsed="false">
      <c r="A12" s="20" t="s">
        <v>144</v>
      </c>
      <c r="B12" s="20"/>
      <c r="C12" s="125" t="n">
        <f aca="false">SUM(C6:C11)</f>
        <v>565000</v>
      </c>
      <c r="D12" s="20"/>
      <c r="E12" s="20"/>
      <c r="F12" s="20"/>
      <c r="G12" s="20"/>
      <c r="H12" s="20"/>
      <c r="I12" s="20"/>
      <c r="J12" s="125" t="n">
        <f aca="false">SUM(J6:J11)</f>
        <v>532960</v>
      </c>
      <c r="K12" s="126" t="n">
        <f aca="false">SUM(K6:K11)</f>
        <v>61223500</v>
      </c>
      <c r="L12" s="126" t="n">
        <f aca="false">SUM(L6:L11)</f>
        <v>62432484</v>
      </c>
      <c r="M12" s="64" t="n">
        <f aca="false">(L12-K12)/K12</f>
        <v>0.0197470579107696</v>
      </c>
      <c r="N12" s="20"/>
    </row>
    <row r="14" customFormat="false" ht="21.75" hidden="false" customHeight="true" outlineLevel="0" collapsed="false">
      <c r="A14" s="4" t="s">
        <v>272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customFormat="false" ht="15.75" hidden="false" customHeight="true" outlineLevel="0" collapsed="false">
      <c r="A15" s="127" t="s">
        <v>273</v>
      </c>
      <c r="B15" s="127"/>
      <c r="C15" s="127"/>
      <c r="D15" s="127"/>
      <c r="E15" s="127"/>
      <c r="F15" s="127"/>
      <c r="G15" s="127"/>
      <c r="H15" s="127"/>
      <c r="I15" s="128" t="n">
        <f aca="false">L12-K12</f>
        <v>1208984</v>
      </c>
      <c r="J15" s="128"/>
      <c r="K15" s="128"/>
      <c r="L15" s="128"/>
      <c r="M15" s="128"/>
      <c r="N15" s="128"/>
    </row>
    <row r="16" customFormat="false" ht="15.75" hidden="false" customHeight="true" outlineLevel="0" collapsed="false">
      <c r="A16" s="127" t="s">
        <v>274</v>
      </c>
      <c r="B16" s="127"/>
      <c r="C16" s="127"/>
      <c r="D16" s="127"/>
      <c r="E16" s="127"/>
      <c r="F16" s="127"/>
      <c r="G16" s="127"/>
      <c r="H16" s="127"/>
      <c r="I16" s="129" t="n">
        <f aca="false">J12-C12</f>
        <v>-32040</v>
      </c>
      <c r="J16" s="129"/>
      <c r="K16" s="129"/>
      <c r="L16" s="129"/>
      <c r="M16" s="129"/>
      <c r="N16" s="129"/>
    </row>
    <row r="17" customFormat="false" ht="15.75" hidden="false" customHeight="true" outlineLevel="0" collapsed="false">
      <c r="A17" s="127" t="s">
        <v>275</v>
      </c>
      <c r="B17" s="127"/>
      <c r="C17" s="127"/>
      <c r="D17" s="127"/>
      <c r="E17" s="127"/>
      <c r="F17" s="127"/>
      <c r="G17" s="127"/>
      <c r="H17" s="127"/>
      <c r="I17" s="130" t="n">
        <f aca="false">(L12-K12)/K12</f>
        <v>0.0197470579107696</v>
      </c>
      <c r="J17" s="130"/>
      <c r="K17" s="130"/>
      <c r="L17" s="130"/>
      <c r="M17" s="130"/>
      <c r="N17" s="130"/>
    </row>
    <row r="18" customFormat="false" ht="15.75" hidden="false" customHeight="true" outlineLevel="0" collapsed="false">
      <c r="A18" s="127" t="s">
        <v>276</v>
      </c>
      <c r="B18" s="127"/>
      <c r="C18" s="127"/>
      <c r="D18" s="127"/>
      <c r="E18" s="127"/>
      <c r="F18" s="127"/>
      <c r="G18" s="127"/>
      <c r="H18" s="127"/>
      <c r="I18" s="128" t="n">
        <f aca="false">(L12-K12)*12</f>
        <v>14507808</v>
      </c>
      <c r="J18" s="128"/>
      <c r="K18" s="128"/>
      <c r="L18" s="128"/>
      <c r="M18" s="128"/>
      <c r="N18" s="128"/>
    </row>
  </sheetData>
  <mergeCells count="12">
    <mergeCell ref="A1:L1"/>
    <mergeCell ref="A2:L2"/>
    <mergeCell ref="A4:L4"/>
    <mergeCell ref="A14:L14"/>
    <mergeCell ref="A15:H15"/>
    <mergeCell ref="I15:N15"/>
    <mergeCell ref="A16:H16"/>
    <mergeCell ref="I16:N16"/>
    <mergeCell ref="A17:H17"/>
    <mergeCell ref="I17:N17"/>
    <mergeCell ref="A18:H18"/>
    <mergeCell ref="I18:N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8" min="8" style="1" width="13"/>
    <col collapsed="false" customWidth="true" hidden="false" outlineLevel="0" max="10" min="9" style="1" width="14"/>
    <col collapsed="false" customWidth="true" hidden="false" outlineLevel="0" max="12" min="11" style="1" width="10"/>
    <col collapsed="false" customWidth="true" hidden="false" outlineLevel="0" max="14" min="13" style="1" width="14"/>
  </cols>
  <sheetData>
    <row r="1" customFormat="false" ht="39.75" hidden="false" customHeight="true" outlineLevel="0" collapsed="false">
      <c r="A1" s="2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15" hidden="false" customHeight="true" outlineLevel="0" collapsed="false">
      <c r="A2" s="3" t="s">
        <v>278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4" customFormat="false" ht="21.75" hidden="false" customHeight="true" outlineLevel="0" collapsed="false">
      <c r="A4" s="4" t="s">
        <v>279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21.75" hidden="false" customHeight="true" outlineLevel="0" collapsed="false">
      <c r="A5" s="131" t="s">
        <v>280</v>
      </c>
      <c r="B5" s="131"/>
      <c r="C5" s="131"/>
      <c r="D5" s="131"/>
      <c r="E5" s="131" t="s">
        <v>281</v>
      </c>
      <c r="F5" s="131"/>
      <c r="G5" s="131"/>
      <c r="H5" s="131"/>
      <c r="I5" s="131" t="s">
        <v>282</v>
      </c>
      <c r="J5" s="131"/>
      <c r="K5" s="131"/>
      <c r="L5" s="131"/>
      <c r="M5" s="131" t="s">
        <v>283</v>
      </c>
      <c r="N5" s="131"/>
      <c r="O5" s="131"/>
      <c r="P5" s="131"/>
    </row>
    <row r="6" customFormat="false" ht="15" hidden="false" customHeight="true" outlineLevel="0" collapsed="false">
      <c r="A6" s="132" t="n">
        <f aca="false">Pricing_Simulator!K12</f>
        <v>61223500</v>
      </c>
      <c r="B6" s="132"/>
      <c r="C6" s="132"/>
      <c r="D6" s="132"/>
      <c r="E6" s="133" t="n">
        <f aca="false">Pricing_Simulator!L12</f>
        <v>62432484</v>
      </c>
      <c r="F6" s="133"/>
      <c r="G6" s="133"/>
      <c r="H6" s="133"/>
      <c r="I6" s="133" t="n">
        <f aca="false">Pricing_Simulator!L12-Pricing_Simulator!K12</f>
        <v>1208984</v>
      </c>
      <c r="J6" s="133"/>
      <c r="K6" s="133"/>
      <c r="L6" s="133"/>
      <c r="M6" s="133" t="n">
        <f aca="false">(Pricing_Simulator!L12-Pricing_Simulator!K12)*12</f>
        <v>14507808</v>
      </c>
      <c r="N6" s="133"/>
      <c r="O6" s="133"/>
      <c r="P6" s="133"/>
    </row>
    <row r="7" customFormat="false" ht="15" hidden="false" customHeight="true" outlineLevel="0" collapsed="false">
      <c r="A7" s="132"/>
      <c r="B7" s="132"/>
      <c r="C7" s="132"/>
      <c r="D7" s="132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</row>
    <row r="9" customFormat="false" ht="21.75" hidden="false" customHeight="true" outlineLevel="0" collapsed="false">
      <c r="A9" s="4" t="s">
        <v>284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45" hidden="false" customHeight="true" outlineLevel="0" collapsed="false">
      <c r="A10" s="31" t="s">
        <v>61</v>
      </c>
      <c r="B10" s="31" t="s">
        <v>148</v>
      </c>
      <c r="C10" s="31" t="s">
        <v>285</v>
      </c>
      <c r="D10" s="31" t="s">
        <v>286</v>
      </c>
      <c r="E10" s="31" t="s">
        <v>287</v>
      </c>
      <c r="F10" s="31" t="s">
        <v>288</v>
      </c>
      <c r="G10" s="31" t="s">
        <v>212</v>
      </c>
      <c r="H10" s="31" t="s">
        <v>267</v>
      </c>
      <c r="I10" s="31" t="s">
        <v>289</v>
      </c>
      <c r="J10" s="31" t="s">
        <v>290</v>
      </c>
      <c r="K10" s="31" t="s">
        <v>270</v>
      </c>
      <c r="L10" s="31" t="s">
        <v>291</v>
      </c>
      <c r="M10" s="31" t="s">
        <v>292</v>
      </c>
      <c r="N10" s="31" t="s">
        <v>180</v>
      </c>
    </row>
    <row r="11" customFormat="false" ht="15" hidden="false" customHeight="true" outlineLevel="0" collapsed="false">
      <c r="A11" s="48" t="s">
        <v>71</v>
      </c>
      <c r="B11" s="56" t="n">
        <v>89.9</v>
      </c>
      <c r="C11" s="14" t="str">
        <f aca="false">OLS_Coefficients!C6&amp;" ["&amp;TEXT(OLS_Coefficients!I6,"0.00")&amp;"/"&amp;TEXT(OLS_Coefficients!J6,"0.00")&amp;"]"</f>
        <v>-0.358798607870316 [-0.61/-0.11]</v>
      </c>
      <c r="D11" s="134" t="s">
        <v>104</v>
      </c>
      <c r="E11" s="55" t="n">
        <f aca="false">WTP_Conjoint!J6</f>
        <v>96.5</v>
      </c>
      <c r="F11" s="135" t="n">
        <f aca="false">Pricing_Simulator!G6</f>
        <v>94.9</v>
      </c>
      <c r="G11" s="71" t="n">
        <f aca="false">Pricing_Simulator!H6</f>
        <v>0.0556173526140156</v>
      </c>
      <c r="H11" s="95" t="n">
        <f aca="false">Pricing_Simulator!J6</f>
        <v>93104</v>
      </c>
      <c r="I11" s="100" t="n">
        <f aca="false">Pricing_Simulator!K6</f>
        <v>8540500</v>
      </c>
      <c r="J11" s="106" t="n">
        <f aca="false">Pricing_Simulator!L6</f>
        <v>8835569.6</v>
      </c>
      <c r="K11" s="71" t="n">
        <f aca="false">Pricing_Simulator!M6</f>
        <v>0.0345494526081611</v>
      </c>
      <c r="L11" s="39" t="s">
        <v>86</v>
      </c>
      <c r="M11" s="53" t="n">
        <f aca="false">OLS_Coefficients!J6-OLS_Coefficients!I6</f>
        <v>0.500964507008047</v>
      </c>
      <c r="N11" s="79" t="str">
        <f aca="false">Pricing_Simulator!N6</f>
        <v>✓ Receita ↑</v>
      </c>
    </row>
    <row r="12" customFormat="false" ht="15" hidden="false" customHeight="true" outlineLevel="0" collapsed="false">
      <c r="A12" s="59" t="s">
        <v>72</v>
      </c>
      <c r="B12" s="62" t="n">
        <v>64.9</v>
      </c>
      <c r="C12" s="14" t="str">
        <f aca="false">OLS_Coefficients!C7&amp;" ["&amp;TEXT(OLS_Coefficients!I7,"0.00")&amp;"/"&amp;TEXT(OLS_Coefficients!J7,"0.00")&amp;"]"</f>
        <v>-0.539215682993195 [-0.80/-0.28]</v>
      </c>
      <c r="D12" s="136" t="s">
        <v>105</v>
      </c>
      <c r="E12" s="55" t="n">
        <f aca="false">WTP_Conjoint!J7</f>
        <v>69.5</v>
      </c>
      <c r="F12" s="135" t="n">
        <f aca="false">Pricing_Simulator!G7</f>
        <v>69.9</v>
      </c>
      <c r="G12" s="77" t="n">
        <f aca="false">Pricing_Simulator!H7</f>
        <v>0.0770416024653313</v>
      </c>
      <c r="H12" s="93" t="n">
        <f aca="false">Pricing_Simulator!J7</f>
        <v>40255</v>
      </c>
      <c r="I12" s="103" t="n">
        <f aca="false">Pricing_Simulator!K7</f>
        <v>2725800</v>
      </c>
      <c r="J12" s="106" t="n">
        <f aca="false">Pricing_Simulator!L7</f>
        <v>2813824.5</v>
      </c>
      <c r="K12" s="77" t="n">
        <f aca="false">Pricing_Simulator!M7</f>
        <v>0.0322930882676644</v>
      </c>
      <c r="L12" s="39" t="s">
        <v>86</v>
      </c>
      <c r="M12" s="60" t="n">
        <f aca="false">OLS_Coefficients!J7-OLS_Coefficients!I7</f>
        <v>0.523008972449718</v>
      </c>
      <c r="N12" s="80" t="str">
        <f aca="false">Pricing_Simulator!N7</f>
        <v>✓ Receita ↑</v>
      </c>
    </row>
    <row r="13" customFormat="false" ht="15" hidden="false" customHeight="true" outlineLevel="0" collapsed="false">
      <c r="A13" s="48" t="s">
        <v>73</v>
      </c>
      <c r="B13" s="56" t="n">
        <v>129.9</v>
      </c>
      <c r="C13" s="14" t="str">
        <f aca="false">OLS_Coefficients!C8&amp;" ["&amp;TEXT(OLS_Coefficients!I8,"0.00")&amp;"/"&amp;TEXT(OLS_Coefficients!J8,"0.00")&amp;"]"</f>
        <v>-0.731021982850656 [-1.00/-0.46]</v>
      </c>
      <c r="D13" s="136" t="s">
        <v>105</v>
      </c>
      <c r="E13" s="55" t="n">
        <f aca="false">WTP_Conjoint!J8</f>
        <v>126.5</v>
      </c>
      <c r="F13" s="135" t="n">
        <f aca="false">Pricing_Simulator!G8</f>
        <v>139.9</v>
      </c>
      <c r="G13" s="71" t="n">
        <f aca="false">Pricing_Simulator!H8</f>
        <v>0.0769822940723634</v>
      </c>
      <c r="H13" s="95" t="n">
        <f aca="false">Pricing_Simulator!J8</f>
        <v>198182</v>
      </c>
      <c r="I13" s="100" t="n">
        <f aca="false">Pricing_Simulator!K8</f>
        <v>27279000</v>
      </c>
      <c r="J13" s="106" t="n">
        <f aca="false">Pricing_Simulator!L8</f>
        <v>27725661.8</v>
      </c>
      <c r="K13" s="71" t="n">
        <f aca="false">Pricing_Simulator!M8</f>
        <v>0.0163738333516625</v>
      </c>
      <c r="L13" s="39" t="s">
        <v>86</v>
      </c>
      <c r="M13" s="53" t="n">
        <f aca="false">OLS_Coefficients!J8-OLS_Coefficients!I8</f>
        <v>0.544186833960124</v>
      </c>
      <c r="N13" s="79" t="str">
        <f aca="false">Pricing_Simulator!N8</f>
        <v>✓ Receita ↑</v>
      </c>
    </row>
    <row r="14" customFormat="false" ht="15" hidden="false" customHeight="true" outlineLevel="0" collapsed="false">
      <c r="A14" s="59" t="s">
        <v>74</v>
      </c>
      <c r="B14" s="62" t="n">
        <v>49.9</v>
      </c>
      <c r="C14" s="14" t="str">
        <f aca="false">OLS_Coefficients!C9&amp;" ["&amp;TEXT(OLS_Coefficients!I9,"0.00")&amp;"/"&amp;TEXT(OLS_Coefficients!J9,"0.00")&amp;"]"</f>
        <v>-1.35 [-1.63/-1.07]</v>
      </c>
      <c r="D14" s="137" t="s">
        <v>106</v>
      </c>
      <c r="E14" s="55" t="n">
        <f aca="false">WTP_Conjoint!J9</f>
        <v>56</v>
      </c>
      <c r="F14" s="135" t="n">
        <f aca="false">Pricing_Simulator!G9</f>
        <v>54.9</v>
      </c>
      <c r="G14" s="77" t="n">
        <f aca="false">Pricing_Simulator!H9</f>
        <v>0.100200400801603</v>
      </c>
      <c r="H14" s="93" t="n">
        <f aca="false">Pricing_Simulator!J9</f>
        <v>58802</v>
      </c>
      <c r="I14" s="103" t="n">
        <f aca="false">Pricing_Simulator!K9</f>
        <v>3393200</v>
      </c>
      <c r="J14" s="106" t="n">
        <f aca="false">Pricing_Simulator!L9</f>
        <v>3228229.8</v>
      </c>
      <c r="K14" s="77" t="n">
        <f aca="false">Pricing_Simulator!M9</f>
        <v>-0.0486178828244725</v>
      </c>
      <c r="L14" s="39" t="s">
        <v>85</v>
      </c>
      <c r="M14" s="60" t="n">
        <f aca="false">OLS_Coefficients!J9-OLS_Coefficients!I9</f>
        <v>0.568</v>
      </c>
      <c r="N14" s="80" t="str">
        <f aca="false">Pricing_Simulator!N9</f>
        <v>≈ Neutro</v>
      </c>
    </row>
    <row r="15" customFormat="false" ht="15" hidden="false" customHeight="true" outlineLevel="0" collapsed="false">
      <c r="A15" s="48" t="s">
        <v>75</v>
      </c>
      <c r="B15" s="56" t="n">
        <v>39.9</v>
      </c>
      <c r="C15" s="14" t="str">
        <f aca="false">OLS_Coefficients!C10&amp;" ["&amp;TEXT(OLS_Coefficients!I10,"0.00")&amp;"/"&amp;TEXT(OLS_Coefficients!J10,"0.00")&amp;"]"</f>
        <v>-0.72170155182422 [-1.05/-0.39]</v>
      </c>
      <c r="D15" s="136" t="s">
        <v>105</v>
      </c>
      <c r="E15" s="55" t="n">
        <f aca="false">WTP_Conjoint!J10</f>
        <v>46.5</v>
      </c>
      <c r="F15" s="135" t="n">
        <f aca="false">Pricing_Simulator!G10</f>
        <v>44.9</v>
      </c>
      <c r="G15" s="71" t="n">
        <f aca="false">Pricing_Simulator!H10</f>
        <v>0.12531328320802</v>
      </c>
      <c r="H15" s="95" t="n">
        <f aca="false">Pricing_Simulator!J10</f>
        <v>50026</v>
      </c>
      <c r="I15" s="100" t="n">
        <f aca="false">Pricing_Simulator!K10</f>
        <v>2194500</v>
      </c>
      <c r="J15" s="106" t="n">
        <f aca="false">Pricing_Simulator!L10</f>
        <v>2246167.4</v>
      </c>
      <c r="K15" s="71" t="n">
        <f aca="false">Pricing_Simulator!M10</f>
        <v>0.0235440419229893</v>
      </c>
      <c r="L15" s="39" t="s">
        <v>86</v>
      </c>
      <c r="M15" s="53" t="n">
        <f aca="false">OLS_Coefficients!J10-OLS_Coefficients!I10</f>
        <v>0.653577438742296</v>
      </c>
      <c r="N15" s="79" t="str">
        <f aca="false">Pricing_Simulator!N10</f>
        <v>✓ Receita ↑</v>
      </c>
    </row>
    <row r="16" customFormat="false" ht="15" hidden="false" customHeight="true" outlineLevel="0" collapsed="false">
      <c r="A16" s="59" t="s">
        <v>76</v>
      </c>
      <c r="B16" s="62" t="n">
        <v>179.9</v>
      </c>
      <c r="C16" s="14" t="str">
        <f aca="false">OLS_Coefficients!C11&amp;" ["&amp;TEXT(OLS_Coefficients!I11,"0.00")&amp;"/"&amp;TEXT(OLS_Coefficients!J11,"0.00")&amp;"]"</f>
        <v>-0.456155717841661 [-0.74/-0.17]</v>
      </c>
      <c r="D16" s="134" t="s">
        <v>104</v>
      </c>
      <c r="E16" s="55" t="n">
        <f aca="false">WTP_Conjoint!J11</f>
        <v>173.5</v>
      </c>
      <c r="F16" s="135" t="n">
        <f aca="false">Pricing_Simulator!G11</f>
        <v>189.9</v>
      </c>
      <c r="G16" s="77" t="n">
        <f aca="false">Pricing_Simulator!H11</f>
        <v>0.0555864369093941</v>
      </c>
      <c r="H16" s="93" t="n">
        <f aca="false">Pricing_Simulator!J11</f>
        <v>92591</v>
      </c>
      <c r="I16" s="103" t="n">
        <f aca="false">Pricing_Simulator!K11</f>
        <v>17090500</v>
      </c>
      <c r="J16" s="106" t="n">
        <f aca="false">Pricing_Simulator!L11</f>
        <v>17583030.9</v>
      </c>
      <c r="K16" s="77" t="n">
        <f aca="false">Pricing_Simulator!M11</f>
        <v>0.0288189871566076</v>
      </c>
      <c r="L16" s="39" t="s">
        <v>87</v>
      </c>
      <c r="M16" s="60" t="n">
        <f aca="false">OLS_Coefficients!J11-OLS_Coefficients!I11</f>
        <v>0.566683261389284</v>
      </c>
      <c r="N16" s="80" t="str">
        <f aca="false">Pricing_Simulator!N11</f>
        <v>✓ Receita ↑</v>
      </c>
    </row>
    <row r="19" customFormat="false" ht="15" hidden="false" customHeight="true" outlineLevel="0" collapsed="false">
      <c r="A19" s="138" t="s">
        <v>293</v>
      </c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</row>
  </sheetData>
  <mergeCells count="13">
    <mergeCell ref="A1:P1"/>
    <mergeCell ref="A2:P2"/>
    <mergeCell ref="A4:P4"/>
    <mergeCell ref="A5:D5"/>
    <mergeCell ref="E5:H5"/>
    <mergeCell ref="I5:L5"/>
    <mergeCell ref="M5:P5"/>
    <mergeCell ref="A6:D7"/>
    <mergeCell ref="E6:H7"/>
    <mergeCell ref="I6:L7"/>
    <mergeCell ref="M6:P7"/>
    <mergeCell ref="A9:P9"/>
    <mergeCell ref="A19:P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2026-08-24T15:31:10Z</dcterms:created>
  <dc:creator>openpyxl</dc:creator>
  <dc:description/>
  <dc:language>en-US</dc:language>
  <cp:lastModifiedBy/>
  <dcterms:modified xsi:type="dcterms:W3CDTF">2026-08-24T15:31:49Z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